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imad khan\Downloads\Excel project\"/>
    </mc:Choice>
  </mc:AlternateContent>
  <xr:revisionPtr revIDLastSave="0" documentId="13_ncr:1_{A520C6F7-76A0-4020-9CF0-08E7FE165F0A}" xr6:coauthVersionLast="47" xr6:coauthVersionMax="47" xr10:uidLastSave="{00000000-0000-0000-0000-000000000000}"/>
  <bookViews>
    <workbookView xWindow="-110" yWindow="-110" windowWidth="19420" windowHeight="10420" firstSheet="1" activeTab="1" xr2:uid="{00000000-000D-0000-FFFF-FFFF00000000}"/>
  </bookViews>
  <sheets>
    <sheet name="best city" sheetId="2" r:id="rId1"/>
    <sheet name="dashboard" sheetId="3" r:id="rId2"/>
    <sheet name="bes sales man" sheetId="4" r:id="rId3"/>
    <sheet name="best product" sheetId="6" r:id="rId4"/>
    <sheet name="SalesData" sheetId="1" r:id="rId5"/>
  </sheets>
  <definedNames>
    <definedName name="Slicer_City">#N/A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0" i="1" l="1"/>
  <c r="J8" i="1"/>
  <c r="J3" i="1"/>
  <c r="J4" i="1"/>
  <c r="J5" i="1"/>
  <c r="J6" i="1"/>
  <c r="J7" i="1"/>
  <c r="J9"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2" i="1"/>
</calcChain>
</file>

<file path=xl/sharedStrings.xml><?xml version="1.0" encoding="utf-8"?>
<sst xmlns="http://schemas.openxmlformats.org/spreadsheetml/2006/main" count="747" uniqueCount="253">
  <si>
    <t>Order ID</t>
  </si>
  <si>
    <t>Date</t>
  </si>
  <si>
    <t>Customer</t>
  </si>
  <si>
    <t>Product</t>
  </si>
  <si>
    <t>Category</t>
  </si>
  <si>
    <t>City</t>
  </si>
  <si>
    <t>Salesperson</t>
  </si>
  <si>
    <t>Quantity</t>
  </si>
  <si>
    <t>Unit Price</t>
  </si>
  <si>
    <t>ORD1002</t>
  </si>
  <si>
    <t>2026-02-21</t>
  </si>
  <si>
    <t>Customer 44</t>
  </si>
  <si>
    <t>Printer</t>
  </si>
  <si>
    <t>Office</t>
  </si>
  <si>
    <t>Rome</t>
  </si>
  <si>
    <t>Ali</t>
  </si>
  <si>
    <t>ORD1003</t>
  </si>
  <si>
    <t>2026-01-20</t>
  </si>
  <si>
    <t>Customer 49</t>
  </si>
  <si>
    <t>Mouse</t>
  </si>
  <si>
    <t>Electronics</t>
  </si>
  <si>
    <t>Milan</t>
  </si>
  <si>
    <t>John</t>
  </si>
  <si>
    <t>ORD1004</t>
  </si>
  <si>
    <t>2026-05-05</t>
  </si>
  <si>
    <t>Customer 13</t>
  </si>
  <si>
    <t>Monitor</t>
  </si>
  <si>
    <t>ORD1005</t>
  </si>
  <si>
    <t>2026-01-23</t>
  </si>
  <si>
    <t>Customer 46</t>
  </si>
  <si>
    <t>Turin</t>
  </si>
  <si>
    <t>Maria</t>
  </si>
  <si>
    <t>ORD1006</t>
  </si>
  <si>
    <t>2026-04-12</t>
  </si>
  <si>
    <t>Customer 35</t>
  </si>
  <si>
    <t>ORD1007</t>
  </si>
  <si>
    <t>2026-02-16</t>
  </si>
  <si>
    <t>Customer 45</t>
  </si>
  <si>
    <t>ORD1008</t>
  </si>
  <si>
    <t>2026-02-01</t>
  </si>
  <si>
    <t>Customer 12</t>
  </si>
  <si>
    <t>Naples</t>
  </si>
  <si>
    <t>ORD1009</t>
  </si>
  <si>
    <t>2026-01-24</t>
  </si>
  <si>
    <t>Customer 41</t>
  </si>
  <si>
    <t>Keyboard</t>
  </si>
  <si>
    <t>Sara</t>
  </si>
  <si>
    <t>ORD1010</t>
  </si>
  <si>
    <t>2026-03-19</t>
  </si>
  <si>
    <t>ORD1011</t>
  </si>
  <si>
    <t>2026-01-22</t>
  </si>
  <si>
    <t>Customer 34</t>
  </si>
  <si>
    <t>ORD1012</t>
  </si>
  <si>
    <t>2026-02-18</t>
  </si>
  <si>
    <t>ORD1013</t>
  </si>
  <si>
    <t>2026-03-31</t>
  </si>
  <si>
    <t>Customer 48</t>
  </si>
  <si>
    <t>ORD1014</t>
  </si>
  <si>
    <t>2026-04-26</t>
  </si>
  <si>
    <t>Customer 24</t>
  </si>
  <si>
    <t>ORD1015</t>
  </si>
  <si>
    <t>2026-04-01</t>
  </si>
  <si>
    <t>Customer 22</t>
  </si>
  <si>
    <t>Chair</t>
  </si>
  <si>
    <t>Furniture</t>
  </si>
  <si>
    <t>ORD1016</t>
  </si>
  <si>
    <t>2026-01-02</t>
  </si>
  <si>
    <t>Customer 1</t>
  </si>
  <si>
    <t>ORD1017</t>
  </si>
  <si>
    <t>ORD1018</t>
  </si>
  <si>
    <t>Ahmed</t>
  </si>
  <si>
    <t>ORD1019</t>
  </si>
  <si>
    <t>2026-02-15</t>
  </si>
  <si>
    <t>ORD1020</t>
  </si>
  <si>
    <t>2026-03-16</t>
  </si>
  <si>
    <t>Customer 40</t>
  </si>
  <si>
    <t>ORD1021</t>
  </si>
  <si>
    <t>2026-05-12</t>
  </si>
  <si>
    <t>Customer 25</t>
  </si>
  <si>
    <t>Laptop</t>
  </si>
  <si>
    <t>ORD1022</t>
  </si>
  <si>
    <t>2026-05-20</t>
  </si>
  <si>
    <t>Customer 50</t>
  </si>
  <si>
    <t>ORD1023</t>
  </si>
  <si>
    <t>2026-03-22</t>
  </si>
  <si>
    <t>ORD1024</t>
  </si>
  <si>
    <t>2026-04-20</t>
  </si>
  <si>
    <t>ORD1025</t>
  </si>
  <si>
    <t>2026-03-09</t>
  </si>
  <si>
    <t>Customer 9</t>
  </si>
  <si>
    <t>ORD1026</t>
  </si>
  <si>
    <t>2026-05-15</t>
  </si>
  <si>
    <t>ORD1027</t>
  </si>
  <si>
    <t>2026-01-19</t>
  </si>
  <si>
    <t>Customer 18</t>
  </si>
  <si>
    <t>ORD1028</t>
  </si>
  <si>
    <t>2026-04-09</t>
  </si>
  <si>
    <t>ORD1029</t>
  </si>
  <si>
    <t>2026-04-02</t>
  </si>
  <si>
    <t>ORD1030</t>
  </si>
  <si>
    <t>Customer 10</t>
  </si>
  <si>
    <t>ORD1031</t>
  </si>
  <si>
    <t>2026-03-17</t>
  </si>
  <si>
    <t>Customer 5</t>
  </si>
  <si>
    <t>ORD1032</t>
  </si>
  <si>
    <t>2026-02-25</t>
  </si>
  <si>
    <t>Customer 3</t>
  </si>
  <si>
    <t>ORD1033</t>
  </si>
  <si>
    <t>2026-02-19</t>
  </si>
  <si>
    <t>Customer 23</t>
  </si>
  <si>
    <t>ORD1034</t>
  </si>
  <si>
    <t>2026-01-28</t>
  </si>
  <si>
    <t>Customer 21</t>
  </si>
  <si>
    <t>ORD1035</t>
  </si>
  <si>
    <t>2026-03-11</t>
  </si>
  <si>
    <t>Customer 2</t>
  </si>
  <si>
    <t>ORD1036</t>
  </si>
  <si>
    <t>2026-03-04</t>
  </si>
  <si>
    <t>ORD1037</t>
  </si>
  <si>
    <t>Customer 11</t>
  </si>
  <si>
    <t>ORD1038</t>
  </si>
  <si>
    <t>Customer 14</t>
  </si>
  <si>
    <t>ORD1039</t>
  </si>
  <si>
    <t>2026-05-22</t>
  </si>
  <si>
    <t>ORD1040</t>
  </si>
  <si>
    <t>2026-05-02</t>
  </si>
  <si>
    <t>Customer 38</t>
  </si>
  <si>
    <t>ORD1041</t>
  </si>
  <si>
    <t>2026-01-01</t>
  </si>
  <si>
    <t>ORD1042</t>
  </si>
  <si>
    <t>2026-05-28</t>
  </si>
  <si>
    <t>Customer 30</t>
  </si>
  <si>
    <t>ORD1043</t>
  </si>
  <si>
    <t>ORD1044</t>
  </si>
  <si>
    <t>2026-01-15</t>
  </si>
  <si>
    <t>Customer 39</t>
  </si>
  <si>
    <t>ORD1045</t>
  </si>
  <si>
    <t>Customer 47</t>
  </si>
  <si>
    <t>ORD1046</t>
  </si>
  <si>
    <t>2026-01-25</t>
  </si>
  <si>
    <t>ORD1047</t>
  </si>
  <si>
    <t>2026-02-09</t>
  </si>
  <si>
    <t>Customer 36</t>
  </si>
  <si>
    <t>ORD1048</t>
  </si>
  <si>
    <t>ORD1049</t>
  </si>
  <si>
    <t>2026-01-17</t>
  </si>
  <si>
    <t>ORD1050</t>
  </si>
  <si>
    <t>2026-02-27</t>
  </si>
  <si>
    <t>Customer 7</t>
  </si>
  <si>
    <t>ORD1051</t>
  </si>
  <si>
    <t>2026-01-08</t>
  </si>
  <si>
    <t>ORD1052</t>
  </si>
  <si>
    <t>2026-04-18</t>
  </si>
  <si>
    <t>ORD1053</t>
  </si>
  <si>
    <t>2026-05-17</t>
  </si>
  <si>
    <t>Customer 26</t>
  </si>
  <si>
    <t>ORD1054</t>
  </si>
  <si>
    <t>ORD1055</t>
  </si>
  <si>
    <t>Customer 16</t>
  </si>
  <si>
    <t>ORD1056</t>
  </si>
  <si>
    <t>2026-02-12</t>
  </si>
  <si>
    <t>Customer 19</t>
  </si>
  <si>
    <t>ORD1057</t>
  </si>
  <si>
    <t>2026-01-09</t>
  </si>
  <si>
    <t>Customer 17</t>
  </si>
  <si>
    <t>ORD1058</t>
  </si>
  <si>
    <t>ORD1059</t>
  </si>
  <si>
    <t>2026-04-13</t>
  </si>
  <si>
    <t>ORD1060</t>
  </si>
  <si>
    <t>2026-05-09</t>
  </si>
  <si>
    <t>ORD1061</t>
  </si>
  <si>
    <t>2026-02-08</t>
  </si>
  <si>
    <t>ORD1062</t>
  </si>
  <si>
    <t>2026-03-07</t>
  </si>
  <si>
    <t>ORD1063</t>
  </si>
  <si>
    <t>Customer 8</t>
  </si>
  <si>
    <t>ORD1064</t>
  </si>
  <si>
    <t>2026-04-24</t>
  </si>
  <si>
    <t>Customer 42</t>
  </si>
  <si>
    <t>ORD1065</t>
  </si>
  <si>
    <t>2026-05-29</t>
  </si>
  <si>
    <t>Customer 31</t>
  </si>
  <si>
    <t>ORD1066</t>
  </si>
  <si>
    <t>Customer 20</t>
  </si>
  <si>
    <t>ORD1067</t>
  </si>
  <si>
    <t>ORD1068</t>
  </si>
  <si>
    <t>ORD1069</t>
  </si>
  <si>
    <t>2026-03-10</t>
  </si>
  <si>
    <t>ORD1070</t>
  </si>
  <si>
    <t>ORD1071</t>
  </si>
  <si>
    <t>Customer 43</t>
  </si>
  <si>
    <t>ORD1072</t>
  </si>
  <si>
    <t>ORD1073</t>
  </si>
  <si>
    <t>ORD1074</t>
  </si>
  <si>
    <t>2026-05-10</t>
  </si>
  <si>
    <t>ORD1075</t>
  </si>
  <si>
    <t>2026-01-21</t>
  </si>
  <si>
    <t>ORD1076</t>
  </si>
  <si>
    <t>2026-03-14</t>
  </si>
  <si>
    <t>ORD1077</t>
  </si>
  <si>
    <t>ORD1078</t>
  </si>
  <si>
    <t>2026-02-07</t>
  </si>
  <si>
    <t>ORD1079</t>
  </si>
  <si>
    <t>Customer 33</t>
  </si>
  <si>
    <t>ORD1080</t>
  </si>
  <si>
    <t>2026-04-05</t>
  </si>
  <si>
    <t>ORD1081</t>
  </si>
  <si>
    <t>ORD1082</t>
  </si>
  <si>
    <t>Customer 37</t>
  </si>
  <si>
    <t>ORD1083</t>
  </si>
  <si>
    <t>ORD1084</t>
  </si>
  <si>
    <t>2026-03-18</t>
  </si>
  <si>
    <t>ORD1085</t>
  </si>
  <si>
    <t>ORD1086</t>
  </si>
  <si>
    <t>ORD1087</t>
  </si>
  <si>
    <t>ORD1088</t>
  </si>
  <si>
    <t>2026-02-11</t>
  </si>
  <si>
    <t>ORD1089</t>
  </si>
  <si>
    <t>Customer 15</t>
  </si>
  <si>
    <t>ORD1090</t>
  </si>
  <si>
    <t>2026-02-04</t>
  </si>
  <si>
    <t>ORD1091</t>
  </si>
  <si>
    <t>2026-02-10</t>
  </si>
  <si>
    <t>ORD1092</t>
  </si>
  <si>
    <t>2026-03-24</t>
  </si>
  <si>
    <t>ORD1093</t>
  </si>
  <si>
    <t>2026-05-27</t>
  </si>
  <si>
    <t>ORD1094</t>
  </si>
  <si>
    <t>ORD1095</t>
  </si>
  <si>
    <t>2026-05-03</t>
  </si>
  <si>
    <t>ORD1096</t>
  </si>
  <si>
    <t>ORD1097</t>
  </si>
  <si>
    <t>2026-01-30</t>
  </si>
  <si>
    <t>ORD1098</t>
  </si>
  <si>
    <t>ORD1099</t>
  </si>
  <si>
    <t>2026-03-29</t>
  </si>
  <si>
    <t>ORD1100</t>
  </si>
  <si>
    <t>ORD1101</t>
  </si>
  <si>
    <t>2026-03-02</t>
  </si>
  <si>
    <t>Total sales</t>
  </si>
  <si>
    <t>Row Labels</t>
  </si>
  <si>
    <t>Grand Total</t>
  </si>
  <si>
    <t>Sum of Total sales</t>
  </si>
  <si>
    <t>Total Revenue</t>
  </si>
  <si>
    <t>Best Product</t>
  </si>
  <si>
    <t>Best City</t>
  </si>
  <si>
    <t>Best Salesperson</t>
  </si>
  <si>
    <t>Key Insights</t>
  </si>
  <si>
    <t>• Laptop generated the highest revenue.</t>
  </si>
  <si>
    <t>• Rome was the best-performing city.</t>
  </si>
  <si>
    <t>• Ali achieved the highest sales.</t>
  </si>
  <si>
    <t>• Total revenue reached 103,185.</t>
  </si>
  <si>
    <t>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</si>
</sst>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6"/>
      <color theme="1"/>
      <name val="Calibri"/>
      <family val="2"/>
      <scheme val="minor"/>
    </font>
    <font>
      <b/>
      <sz val="16"/>
      <color theme="0"/>
      <name val="Calibri"/>
      <family val="2"/>
      <scheme val="minor"/>
    </font>
    <font>
      <b/>
      <sz val="20"/>
      <color theme="0"/>
      <name val="Calibri"/>
      <family val="2"/>
      <scheme val="minor"/>
    </font>
    <font>
      <sz val="20"/>
      <color theme="1"/>
      <name val="Calibri"/>
      <family val="2"/>
      <scheme val="minor"/>
    </font>
    <font>
      <b/>
      <sz val="36"/>
      <color theme="0"/>
      <name val="Calibri"/>
      <family val="2"/>
      <scheme val="minor"/>
    </font>
  </fonts>
  <fills count="3">
    <fill>
      <patternFill patternType="none"/>
    </fill>
    <fill>
      <patternFill patternType="gray125"/>
    </fill>
    <fill>
      <patternFill patternType="solid">
        <fgColor theme="3"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0" xfId="0" pivotButton="1"/>
    <xf numFmtId="0" fontId="0" fillId="0" borderId="0" xfId="0" applyAlignment="1">
      <alignment horizontal="left"/>
    </xf>
    <xf numFmtId="0" fontId="0" fillId="0" borderId="0" xfId="0" applyAlignment="1">
      <alignment vertical="center"/>
    </xf>
    <xf numFmtId="0" fontId="1" fillId="0" borderId="0" xfId="0" applyFont="1"/>
    <xf numFmtId="0" fontId="2" fillId="2" borderId="0" xfId="0" applyFont="1" applyFill="1"/>
    <xf numFmtId="0" fontId="3" fillId="2" borderId="1" xfId="0" applyFont="1" applyFill="1" applyBorder="1" applyAlignment="1">
      <alignment horizontal="center" vertical="center"/>
    </xf>
    <xf numFmtId="3" fontId="4" fillId="0" borderId="1" xfId="0" applyNumberFormat="1" applyFont="1" applyBorder="1" applyAlignment="1">
      <alignment vertical="center"/>
    </xf>
    <xf numFmtId="0" fontId="4" fillId="0" borderId="1" xfId="0" applyFont="1" applyBorder="1" applyAlignment="1">
      <alignment vertical="center"/>
    </xf>
    <xf numFmtId="0" fontId="5" fillId="2"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dashboard.xlsx]best city!PivotTable1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City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'best city'!$B$3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'best city'!$A$4:$A$8</c:f>
              <c:strCache>
                <c:ptCount val="4"/>
                <c:pt idx="0">
                  <c:v>Milan</c:v>
                </c:pt>
                <c:pt idx="1">
                  <c:v>Naples</c:v>
                </c:pt>
                <c:pt idx="2">
                  <c:v>Rome</c:v>
                </c:pt>
                <c:pt idx="3">
                  <c:v>Turin</c:v>
                </c:pt>
              </c:strCache>
            </c:strRef>
          </c:cat>
          <c:val>
            <c:numRef>
              <c:f>'best city'!$B$4:$B$8</c:f>
              <c:numCache>
                <c:formatCode>General</c:formatCode>
                <c:ptCount val="4"/>
                <c:pt idx="0">
                  <c:v>18140</c:v>
                </c:pt>
                <c:pt idx="1">
                  <c:v>16980</c:v>
                </c:pt>
                <c:pt idx="2">
                  <c:v>48610</c:v>
                </c:pt>
                <c:pt idx="3">
                  <c:v>19455</c:v>
                </c:pt>
              </c:numCache>
            </c:numRef>
          </c:val>
          <c:extLst>
            <c:ext xmlns:c16="http://schemas.microsoft.com/office/drawing/2014/chart" uri="{C3380CC4-5D6E-409C-BE32-E72D297353CC}">
              <c16:uniqueId val="{00000000-3A6C-4504-886E-C1EDD520652C}"/>
            </c:ext>
          </c:extLst>
        </c:ser>
        <c:dLbls>
          <c:showLegendKey val="0"/>
          <c:showVal val="0"/>
          <c:showCatName val="0"/>
          <c:showSerName val="0"/>
          <c:showPercent val="0"/>
          <c:showBubbleSize val="0"/>
        </c:dLbls>
        <c:gapWidth val="150"/>
        <c:shape val="box"/>
        <c:axId val="1813202208"/>
        <c:axId val="1813202688"/>
        <c:axId val="0"/>
      </c:bar3DChart>
      <c:catAx>
        <c:axId val="18132022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3202688"/>
        <c:crosses val="autoZero"/>
        <c:auto val="1"/>
        <c:lblAlgn val="ctr"/>
        <c:lblOffset val="100"/>
        <c:noMultiLvlLbl val="0"/>
      </c:catAx>
      <c:valAx>
        <c:axId val="1813202688"/>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3202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dashboard.xlsx]bes sales man!PivotTable2</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Sales by Salesperson</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'bes sales man'!$B$3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'bes sales man'!$A$4:$A$9</c:f>
              <c:strCache>
                <c:ptCount val="5"/>
                <c:pt idx="0">
                  <c:v>Ahmed</c:v>
                </c:pt>
                <c:pt idx="1">
                  <c:v>Ali</c:v>
                </c:pt>
                <c:pt idx="2">
                  <c:v>John</c:v>
                </c:pt>
                <c:pt idx="3">
                  <c:v>Maria</c:v>
                </c:pt>
                <c:pt idx="4">
                  <c:v>Sara</c:v>
                </c:pt>
              </c:strCache>
            </c:strRef>
          </c:cat>
          <c:val>
            <c:numRef>
              <c:f>'bes sales man'!$B$4:$B$9</c:f>
              <c:numCache>
                <c:formatCode>General</c:formatCode>
                <c:ptCount val="5"/>
                <c:pt idx="0">
                  <c:v>27205</c:v>
                </c:pt>
                <c:pt idx="1">
                  <c:v>32945</c:v>
                </c:pt>
                <c:pt idx="2">
                  <c:v>9095</c:v>
                </c:pt>
                <c:pt idx="3">
                  <c:v>18550</c:v>
                </c:pt>
                <c:pt idx="4">
                  <c:v>15390</c:v>
                </c:pt>
              </c:numCache>
            </c:numRef>
          </c:val>
          <c:extLst>
            <c:ext xmlns:c16="http://schemas.microsoft.com/office/drawing/2014/chart" uri="{C3380CC4-5D6E-409C-BE32-E72D297353CC}">
              <c16:uniqueId val="{00000000-7854-433A-894D-450F8324133D}"/>
            </c:ext>
          </c:extLst>
        </c:ser>
        <c:dLbls>
          <c:showLegendKey val="0"/>
          <c:showVal val="0"/>
          <c:showCatName val="0"/>
          <c:showSerName val="0"/>
          <c:showPercent val="0"/>
          <c:showBubbleSize val="0"/>
        </c:dLbls>
        <c:gapWidth val="150"/>
        <c:shape val="box"/>
        <c:axId val="11804160"/>
        <c:axId val="11815680"/>
        <c:axId val="0"/>
      </c:bar3DChart>
      <c:catAx>
        <c:axId val="118041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815680"/>
        <c:crosses val="autoZero"/>
        <c:auto val="1"/>
        <c:lblAlgn val="ctr"/>
        <c:lblOffset val="100"/>
        <c:noMultiLvlLbl val="0"/>
      </c:catAx>
      <c:valAx>
        <c:axId val="11815680"/>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804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dashboard.xlsx]best product!PivotTable4</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a:t>
            </a:r>
            <a:r>
              <a:rPr lang="en-US" baseline="0"/>
              <a:t>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'best product'!$B$3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'best product'!$A$4:$A$10</c:f>
              <c:strCache>
                <c:ptCount val="6"/>
                <c:pt idx="0">
                  <c:v>Chair</c:v>
                </c:pt>
                <c:pt idx="1">
                  <c:v>Keyboard</c:v>
                </c:pt>
                <c:pt idx="2">
                  <c:v>Laptop</c:v>
                </c:pt>
                <c:pt idx="3">
                  <c:v>Monitor</c:v>
                </c:pt>
                <c:pt idx="4">
                  <c:v>Mouse</c:v>
                </c:pt>
                <c:pt idx="5">
                  <c:v>Printer</c:v>
                </c:pt>
              </c:strCache>
            </c:strRef>
          </c:cat>
          <c:val>
            <c:numRef>
              <c:f>'best product'!$B$4:$B$10</c:f>
              <c:numCache>
                <c:formatCode>General</c:formatCode>
                <c:ptCount val="6"/>
                <c:pt idx="0">
                  <c:v>7680</c:v>
                </c:pt>
                <c:pt idx="1">
                  <c:v>3675</c:v>
                </c:pt>
                <c:pt idx="2">
                  <c:v>60000</c:v>
                </c:pt>
                <c:pt idx="3">
                  <c:v>16200</c:v>
                </c:pt>
                <c:pt idx="4">
                  <c:v>1980</c:v>
                </c:pt>
                <c:pt idx="5">
                  <c:v>13650</c:v>
                </c:pt>
              </c:numCache>
            </c:numRef>
          </c:val>
          <c:extLst>
            <c:ext xmlns:c16="http://schemas.microsoft.com/office/drawing/2014/chart" uri="{C3380CC4-5D6E-409C-BE32-E72D297353CC}">
              <c16:uniqueId val="{00000000-07F4-495C-9963-3E873154BBE7}"/>
            </c:ext>
          </c:extLst>
        </c:ser>
        <c:dLbls>
          <c:showLegendKey val="0"/>
          <c:showVal val="0"/>
          <c:showCatName val="0"/>
          <c:showSerName val="0"/>
          <c:showPercent val="0"/>
          <c:showBubbleSize val="0"/>
        </c:dLbls>
        <c:gapWidth val="150"/>
        <c:shape val="box"/>
        <c:axId val="11811360"/>
        <c:axId val="11814720"/>
        <c:axId val="0"/>
      </c:bar3DChart>
      <c:catAx>
        <c:axId val="118113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814720"/>
        <c:crosses val="autoZero"/>
        <c:auto val="1"/>
        <c:lblAlgn val="ctr"/>
        <c:lblOffset val="100"/>
        <c:noMultiLvlLbl val="0"/>
      </c:catAx>
      <c:valAx>
        <c:axId val="11814720"/>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811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548776</xdr:colOff>
      <xdr:row>2</xdr:row>
      <xdr:rowOff>50131</xdr:rowOff>
    </xdr:from>
    <xdr:to>
      <xdr:col>8</xdr:col>
      <xdr:colOff>2323768</xdr:colOff>
      <xdr:row>20</xdr:row>
      <xdr:rowOff>16711</xdr:rowOff>
    </xdr:to>
    <xdr:graphicFrame macro="">
      <xdr:nvGraphicFramePr>
        <xdr:cNvPr id="2" name="Chart 1">
          <a:extLst>
            <a:ext uri="{FF2B5EF4-FFF2-40B4-BE49-F238E27FC236}">
              <a16:creationId xmlns:a16="http://schemas.microsoft.com/office/drawing/2014/main" id="{E168CF70-DF64-44C5-9549-9681F6F6C5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2511258</xdr:colOff>
      <xdr:row>2</xdr:row>
      <xdr:rowOff>8356</xdr:rowOff>
    </xdr:from>
    <xdr:to>
      <xdr:col>12</xdr:col>
      <xdr:colOff>108618</xdr:colOff>
      <xdr:row>20</xdr:row>
      <xdr:rowOff>8022</xdr:rowOff>
    </xdr:to>
    <xdr:graphicFrame macro="">
      <xdr:nvGraphicFramePr>
        <xdr:cNvPr id="4" name="Chart 3">
          <a:extLst>
            <a:ext uri="{FF2B5EF4-FFF2-40B4-BE49-F238E27FC236}">
              <a16:creationId xmlns:a16="http://schemas.microsoft.com/office/drawing/2014/main" id="{CB116C9F-0A78-4478-9BE1-145F384A39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379663</xdr:colOff>
      <xdr:row>2</xdr:row>
      <xdr:rowOff>0</xdr:rowOff>
    </xdr:from>
    <xdr:to>
      <xdr:col>17</xdr:col>
      <xdr:colOff>513013</xdr:colOff>
      <xdr:row>20</xdr:row>
      <xdr:rowOff>0</xdr:rowOff>
    </xdr:to>
    <xdr:graphicFrame macro="">
      <xdr:nvGraphicFramePr>
        <xdr:cNvPr id="5" name="Chart 4">
          <a:extLst>
            <a:ext uri="{FF2B5EF4-FFF2-40B4-BE49-F238E27FC236}">
              <a16:creationId xmlns:a16="http://schemas.microsoft.com/office/drawing/2014/main" id="{7FA10CE4-0277-47E0-ABD0-2AC1CD58B7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1215525</xdr:colOff>
      <xdr:row>6</xdr:row>
      <xdr:rowOff>82549</xdr:rowOff>
    </xdr:from>
    <xdr:to>
      <xdr:col>5</xdr:col>
      <xdr:colOff>514714</xdr:colOff>
      <xdr:row>20</xdr:row>
      <xdr:rowOff>28574</xdr:rowOff>
    </xdr:to>
    <mc:AlternateContent xmlns:mc="http://schemas.openxmlformats.org/markup-compatibility/2006" xmlns:a14="http://schemas.microsoft.com/office/drawing/2010/main">
      <mc:Choice Requires="a14">
        <xdr:graphicFrame macro="">
          <xdr:nvGraphicFramePr>
            <xdr:cNvPr id="6" name="City">
              <a:extLst>
                <a:ext uri="{FF2B5EF4-FFF2-40B4-BE49-F238E27FC236}">
                  <a16:creationId xmlns:a16="http://schemas.microsoft.com/office/drawing/2014/main" id="{BA40AE88-591D-B006-DE96-30AF3EEB46F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5370634" y="1711462"/>
              <a:ext cx="1825384" cy="24584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mad khan" refreshedDate="46175.861299537035" createdVersion="8" refreshedVersion="8" minRefreshableVersion="3" recordCount="100" xr:uid="{F807516A-390B-4B24-B2FD-C772E19FF2A7}">
  <cacheSource type="worksheet">
    <worksheetSource ref="A1:J101" sheet="SalesData"/>
  </cacheSource>
  <cacheFields count="10">
    <cacheField name="Order ID" numFmtId="0">
      <sharedItems/>
    </cacheField>
    <cacheField name="Date" numFmtId="0">
      <sharedItems/>
    </cacheField>
    <cacheField name="Customer" numFmtId="0">
      <sharedItems/>
    </cacheField>
    <cacheField name="Product" numFmtId="0">
      <sharedItems count="6">
        <s v="Printer"/>
        <s v="Mouse"/>
        <s v="Monitor"/>
        <s v="Keyboard"/>
        <s v="Chair"/>
        <s v="Laptop"/>
      </sharedItems>
    </cacheField>
    <cacheField name="Category" numFmtId="0">
      <sharedItems/>
    </cacheField>
    <cacheField name="City" numFmtId="0">
      <sharedItems count="4">
        <s v="Rome"/>
        <s v="Milan"/>
        <s v="Turin"/>
        <s v="Naples"/>
      </sharedItems>
    </cacheField>
    <cacheField name="Salesperson" numFmtId="0">
      <sharedItems count="5">
        <s v="Ali"/>
        <s v="John"/>
        <s v="Maria"/>
        <s v="Sara"/>
        <s v="Ahmed"/>
      </sharedItems>
    </cacheField>
    <cacheField name="Quantity" numFmtId="0">
      <sharedItems containsSemiMixedTypes="0" containsString="0" containsNumber="1" containsInteger="1" minValue="1" maxValue="10"/>
    </cacheField>
    <cacheField name="Unit Price" numFmtId="0">
      <sharedItems containsSemiMixedTypes="0" containsString="0" containsNumber="1" containsInteger="1" minValue="20" maxValue="800"/>
    </cacheField>
    <cacheField name="Total sales" numFmtId="0">
      <sharedItems containsSemiMixedTypes="0" containsString="0" containsNumber="1" containsInteger="1" minValue="20" maxValue="8000"/>
    </cacheField>
  </cacheFields>
  <extLst>
    <ext xmlns:x14="http://schemas.microsoft.com/office/spreadsheetml/2009/9/main" uri="{725AE2AE-9491-48be-B2B4-4EB974FC3084}">
      <x14:pivotCacheDefinition pivotCacheId="6013771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1002"/>
    <s v="2026-02-21"/>
    <s v="Customer 44"/>
    <x v="0"/>
    <s v="Office"/>
    <x v="0"/>
    <x v="0"/>
    <n v="1"/>
    <n v="150"/>
    <n v="150"/>
  </r>
  <r>
    <s v="ORD1003"/>
    <s v="2026-01-20"/>
    <s v="Customer 49"/>
    <x v="1"/>
    <s v="Electronics"/>
    <x v="1"/>
    <x v="1"/>
    <n v="7"/>
    <n v="20"/>
    <n v="140"/>
  </r>
  <r>
    <s v="ORD1004"/>
    <s v="2026-05-05"/>
    <s v="Customer 13"/>
    <x v="2"/>
    <s v="Electronics"/>
    <x v="0"/>
    <x v="0"/>
    <n v="1"/>
    <n v="200"/>
    <n v="200"/>
  </r>
  <r>
    <s v="ORD1005"/>
    <s v="2026-01-23"/>
    <s v="Customer 46"/>
    <x v="1"/>
    <s v="Electronics"/>
    <x v="2"/>
    <x v="2"/>
    <n v="4"/>
    <n v="20"/>
    <n v="80"/>
  </r>
  <r>
    <s v="ORD1006"/>
    <s v="2026-04-12"/>
    <s v="Customer 35"/>
    <x v="1"/>
    <s v="Electronics"/>
    <x v="1"/>
    <x v="1"/>
    <n v="2"/>
    <n v="20"/>
    <n v="40"/>
  </r>
  <r>
    <s v="ORD1007"/>
    <s v="2026-02-16"/>
    <s v="Customer 45"/>
    <x v="2"/>
    <s v="Electronics"/>
    <x v="2"/>
    <x v="2"/>
    <n v="2"/>
    <n v="200"/>
    <n v="400"/>
  </r>
  <r>
    <s v="ORD1008"/>
    <s v="2026-02-01"/>
    <s v="Customer 12"/>
    <x v="2"/>
    <s v="Electronics"/>
    <x v="3"/>
    <x v="0"/>
    <n v="9"/>
    <n v="200"/>
    <n v="1800"/>
  </r>
  <r>
    <s v="ORD1009"/>
    <s v="2026-01-24"/>
    <s v="Customer 41"/>
    <x v="3"/>
    <s v="Electronics"/>
    <x v="2"/>
    <x v="3"/>
    <n v="8"/>
    <n v="35"/>
    <n v="280"/>
  </r>
  <r>
    <s v="ORD1010"/>
    <s v="2026-03-19"/>
    <s v="Customer 13"/>
    <x v="0"/>
    <s v="Office"/>
    <x v="0"/>
    <x v="1"/>
    <n v="9"/>
    <n v="150"/>
    <n v="1350"/>
  </r>
  <r>
    <s v="ORD1011"/>
    <s v="2026-01-22"/>
    <s v="Customer 34"/>
    <x v="2"/>
    <s v="Electronics"/>
    <x v="1"/>
    <x v="0"/>
    <n v="7"/>
    <n v="200"/>
    <n v="1400"/>
  </r>
  <r>
    <s v="ORD1012"/>
    <s v="2026-02-18"/>
    <s v="Customer 35"/>
    <x v="3"/>
    <s v="Electronics"/>
    <x v="1"/>
    <x v="1"/>
    <n v="7"/>
    <n v="35"/>
    <n v="245"/>
  </r>
  <r>
    <s v="ORD1013"/>
    <s v="2026-03-31"/>
    <s v="Customer 48"/>
    <x v="1"/>
    <s v="Electronics"/>
    <x v="0"/>
    <x v="3"/>
    <n v="8"/>
    <n v="20"/>
    <n v="160"/>
  </r>
  <r>
    <s v="ORD1014"/>
    <s v="2026-04-26"/>
    <s v="Customer 24"/>
    <x v="3"/>
    <s v="Electronics"/>
    <x v="0"/>
    <x v="0"/>
    <n v="2"/>
    <n v="35"/>
    <n v="70"/>
  </r>
  <r>
    <s v="ORD1015"/>
    <s v="2026-04-01"/>
    <s v="Customer 22"/>
    <x v="4"/>
    <s v="Furniture"/>
    <x v="2"/>
    <x v="1"/>
    <n v="5"/>
    <n v="120"/>
    <n v="600"/>
  </r>
  <r>
    <s v="ORD1016"/>
    <s v="2026-01-02"/>
    <s v="Customer 1"/>
    <x v="0"/>
    <s v="Office"/>
    <x v="0"/>
    <x v="0"/>
    <n v="9"/>
    <n v="150"/>
    <n v="1350"/>
  </r>
  <r>
    <s v="ORD1017"/>
    <s v="2026-02-21"/>
    <s v="Customer 44"/>
    <x v="1"/>
    <s v="Electronics"/>
    <x v="0"/>
    <x v="3"/>
    <n v="7"/>
    <n v="20"/>
    <n v="140"/>
  </r>
  <r>
    <s v="ORD1018"/>
    <s v="2026-02-16"/>
    <s v="Customer 48"/>
    <x v="2"/>
    <s v="Electronics"/>
    <x v="1"/>
    <x v="4"/>
    <n v="8"/>
    <n v="200"/>
    <n v="1600"/>
  </r>
  <r>
    <s v="ORD1019"/>
    <s v="2026-02-15"/>
    <s v="Customer 46"/>
    <x v="1"/>
    <s v="Electronics"/>
    <x v="1"/>
    <x v="3"/>
    <n v="9"/>
    <n v="20"/>
    <n v="180"/>
  </r>
  <r>
    <s v="ORD1020"/>
    <s v="2026-03-16"/>
    <s v="Customer 40"/>
    <x v="4"/>
    <s v="Furniture"/>
    <x v="0"/>
    <x v="1"/>
    <n v="5"/>
    <n v="120"/>
    <n v="600"/>
  </r>
  <r>
    <s v="ORD1021"/>
    <s v="2026-05-12"/>
    <s v="Customer 25"/>
    <x v="5"/>
    <s v="Electronics"/>
    <x v="1"/>
    <x v="2"/>
    <n v="7"/>
    <n v="800"/>
    <n v="5600"/>
  </r>
  <r>
    <s v="ORD1022"/>
    <s v="2026-05-20"/>
    <s v="Customer 50"/>
    <x v="3"/>
    <s v="Electronics"/>
    <x v="1"/>
    <x v="0"/>
    <n v="8"/>
    <n v="35"/>
    <n v="280"/>
  </r>
  <r>
    <s v="ORD1023"/>
    <s v="2026-03-22"/>
    <s v="Customer 45"/>
    <x v="3"/>
    <s v="Electronics"/>
    <x v="3"/>
    <x v="1"/>
    <n v="2"/>
    <n v="35"/>
    <n v="70"/>
  </r>
  <r>
    <s v="ORD1024"/>
    <s v="2026-04-20"/>
    <s v="Customer 50"/>
    <x v="2"/>
    <s v="Electronics"/>
    <x v="3"/>
    <x v="4"/>
    <n v="8"/>
    <n v="200"/>
    <n v="1600"/>
  </r>
  <r>
    <s v="ORD1025"/>
    <s v="2026-03-09"/>
    <s v="Customer 9"/>
    <x v="5"/>
    <s v="Electronics"/>
    <x v="3"/>
    <x v="0"/>
    <n v="1"/>
    <n v="800"/>
    <n v="800"/>
  </r>
  <r>
    <s v="ORD1026"/>
    <s v="2026-05-15"/>
    <s v="Customer 45"/>
    <x v="4"/>
    <s v="Furniture"/>
    <x v="2"/>
    <x v="4"/>
    <n v="6"/>
    <n v="120"/>
    <n v="720"/>
  </r>
  <r>
    <s v="ORD1027"/>
    <s v="2026-01-19"/>
    <s v="Customer 18"/>
    <x v="4"/>
    <s v="Furniture"/>
    <x v="2"/>
    <x v="4"/>
    <n v="7"/>
    <n v="120"/>
    <n v="840"/>
  </r>
  <r>
    <s v="ORD1028"/>
    <s v="2026-04-09"/>
    <s v="Customer 41"/>
    <x v="1"/>
    <s v="Electronics"/>
    <x v="0"/>
    <x v="2"/>
    <n v="1"/>
    <n v="20"/>
    <n v="20"/>
  </r>
  <r>
    <s v="ORD1029"/>
    <s v="2026-04-02"/>
    <s v="Customer 22"/>
    <x v="2"/>
    <s v="Electronics"/>
    <x v="1"/>
    <x v="3"/>
    <n v="2"/>
    <n v="200"/>
    <n v="400"/>
  </r>
  <r>
    <s v="ORD1030"/>
    <s v="2026-03-31"/>
    <s v="Customer 10"/>
    <x v="0"/>
    <s v="Office"/>
    <x v="3"/>
    <x v="3"/>
    <n v="2"/>
    <n v="150"/>
    <n v="300"/>
  </r>
  <r>
    <s v="ORD1031"/>
    <s v="2026-03-17"/>
    <s v="Customer 5"/>
    <x v="5"/>
    <s v="Electronics"/>
    <x v="1"/>
    <x v="3"/>
    <n v="3"/>
    <n v="800"/>
    <n v="2400"/>
  </r>
  <r>
    <s v="ORD1032"/>
    <s v="2026-02-25"/>
    <s v="Customer 3"/>
    <x v="4"/>
    <s v="Furniture"/>
    <x v="1"/>
    <x v="3"/>
    <n v="9"/>
    <n v="120"/>
    <n v="1080"/>
  </r>
  <r>
    <s v="ORD1033"/>
    <s v="2026-02-19"/>
    <s v="Customer 23"/>
    <x v="5"/>
    <s v="Electronics"/>
    <x v="3"/>
    <x v="0"/>
    <n v="6"/>
    <n v="800"/>
    <n v="4800"/>
  </r>
  <r>
    <s v="ORD1034"/>
    <s v="2026-01-28"/>
    <s v="Customer 21"/>
    <x v="5"/>
    <s v="Electronics"/>
    <x v="0"/>
    <x v="4"/>
    <n v="3"/>
    <n v="800"/>
    <n v="2400"/>
  </r>
  <r>
    <s v="ORD1035"/>
    <s v="2026-03-11"/>
    <s v="Customer 2"/>
    <x v="1"/>
    <s v="Electronics"/>
    <x v="0"/>
    <x v="0"/>
    <n v="3"/>
    <n v="20"/>
    <n v="60"/>
  </r>
  <r>
    <s v="ORD1036"/>
    <s v="2026-03-04"/>
    <s v="Customer 40"/>
    <x v="0"/>
    <s v="Office"/>
    <x v="0"/>
    <x v="4"/>
    <n v="5"/>
    <n v="150"/>
    <n v="750"/>
  </r>
  <r>
    <s v="ORD1037"/>
    <s v="2026-04-26"/>
    <s v="Customer 11"/>
    <x v="3"/>
    <s v="Electronics"/>
    <x v="0"/>
    <x v="4"/>
    <n v="1"/>
    <n v="35"/>
    <n v="35"/>
  </r>
  <r>
    <s v="ORD1038"/>
    <s v="2026-05-12"/>
    <s v="Customer 14"/>
    <x v="3"/>
    <s v="Electronics"/>
    <x v="3"/>
    <x v="2"/>
    <n v="6"/>
    <n v="35"/>
    <n v="210"/>
  </r>
  <r>
    <s v="ORD1039"/>
    <s v="2026-05-22"/>
    <s v="Customer 24"/>
    <x v="0"/>
    <s v="Office"/>
    <x v="2"/>
    <x v="1"/>
    <n v="1"/>
    <n v="150"/>
    <n v="150"/>
  </r>
  <r>
    <s v="ORD1040"/>
    <s v="2026-05-02"/>
    <s v="Customer 38"/>
    <x v="0"/>
    <s v="Office"/>
    <x v="2"/>
    <x v="0"/>
    <n v="8"/>
    <n v="150"/>
    <n v="1200"/>
  </r>
  <r>
    <s v="ORD1041"/>
    <s v="2026-01-01"/>
    <s v="Customer 35"/>
    <x v="1"/>
    <s v="Electronics"/>
    <x v="0"/>
    <x v="2"/>
    <n v="8"/>
    <n v="20"/>
    <n v="160"/>
  </r>
  <r>
    <s v="ORD1042"/>
    <s v="2026-05-28"/>
    <s v="Customer 30"/>
    <x v="3"/>
    <s v="Electronics"/>
    <x v="3"/>
    <x v="0"/>
    <n v="2"/>
    <n v="35"/>
    <n v="70"/>
  </r>
  <r>
    <s v="ORD1043"/>
    <s v="2026-02-18"/>
    <s v="Customer 49"/>
    <x v="3"/>
    <s v="Electronics"/>
    <x v="2"/>
    <x v="0"/>
    <n v="1"/>
    <n v="35"/>
    <n v="35"/>
  </r>
  <r>
    <s v="ORD1044"/>
    <s v="2026-01-15"/>
    <s v="Customer 39"/>
    <x v="3"/>
    <s v="Electronics"/>
    <x v="3"/>
    <x v="1"/>
    <n v="1"/>
    <n v="35"/>
    <n v="35"/>
  </r>
  <r>
    <s v="ORD1045"/>
    <s v="2026-01-02"/>
    <s v="Customer 47"/>
    <x v="3"/>
    <s v="Electronics"/>
    <x v="2"/>
    <x v="2"/>
    <n v="3"/>
    <n v="35"/>
    <n v="105"/>
  </r>
  <r>
    <s v="ORD1046"/>
    <s v="2026-01-25"/>
    <s v="Customer 46"/>
    <x v="5"/>
    <s v="Electronics"/>
    <x v="2"/>
    <x v="3"/>
    <n v="5"/>
    <n v="800"/>
    <n v="4000"/>
  </r>
  <r>
    <s v="ORD1047"/>
    <s v="2026-02-09"/>
    <s v="Customer 36"/>
    <x v="0"/>
    <s v="Office"/>
    <x v="0"/>
    <x v="3"/>
    <n v="2"/>
    <n v="150"/>
    <n v="300"/>
  </r>
  <r>
    <s v="ORD1048"/>
    <s v="2026-03-09"/>
    <s v="Customer 3"/>
    <x v="1"/>
    <s v="Electronics"/>
    <x v="1"/>
    <x v="0"/>
    <n v="10"/>
    <n v="20"/>
    <n v="200"/>
  </r>
  <r>
    <s v="ORD1049"/>
    <s v="2026-01-17"/>
    <s v="Customer 1"/>
    <x v="3"/>
    <s v="Electronics"/>
    <x v="2"/>
    <x v="2"/>
    <n v="8"/>
    <n v="35"/>
    <n v="280"/>
  </r>
  <r>
    <s v="ORD1050"/>
    <s v="2026-02-27"/>
    <s v="Customer 7"/>
    <x v="0"/>
    <s v="Office"/>
    <x v="2"/>
    <x v="1"/>
    <n v="2"/>
    <n v="150"/>
    <n v="300"/>
  </r>
  <r>
    <s v="ORD1051"/>
    <s v="2026-01-08"/>
    <s v="Customer 30"/>
    <x v="4"/>
    <s v="Furniture"/>
    <x v="3"/>
    <x v="0"/>
    <n v="6"/>
    <n v="120"/>
    <n v="720"/>
  </r>
  <r>
    <s v="ORD1052"/>
    <s v="2026-04-18"/>
    <s v="Customer 45"/>
    <x v="2"/>
    <s v="Electronics"/>
    <x v="2"/>
    <x v="2"/>
    <n v="6"/>
    <n v="200"/>
    <n v="1200"/>
  </r>
  <r>
    <s v="ORD1053"/>
    <s v="2026-05-17"/>
    <s v="Customer 26"/>
    <x v="2"/>
    <s v="Electronics"/>
    <x v="0"/>
    <x v="0"/>
    <n v="4"/>
    <n v="200"/>
    <n v="800"/>
  </r>
  <r>
    <s v="ORD1054"/>
    <s v="2026-03-19"/>
    <s v="Customer 14"/>
    <x v="2"/>
    <s v="Electronics"/>
    <x v="0"/>
    <x v="1"/>
    <n v="4"/>
    <n v="200"/>
    <n v="800"/>
  </r>
  <r>
    <s v="ORD1055"/>
    <s v="2026-01-17"/>
    <s v="Customer 16"/>
    <x v="3"/>
    <s v="Electronics"/>
    <x v="1"/>
    <x v="2"/>
    <n v="5"/>
    <n v="35"/>
    <n v="175"/>
  </r>
  <r>
    <s v="ORD1056"/>
    <s v="2026-02-12"/>
    <s v="Customer 19"/>
    <x v="3"/>
    <s v="Electronics"/>
    <x v="2"/>
    <x v="1"/>
    <n v="2"/>
    <n v="35"/>
    <n v="70"/>
  </r>
  <r>
    <s v="ORD1057"/>
    <s v="2026-01-09"/>
    <s v="Customer 17"/>
    <x v="2"/>
    <s v="Electronics"/>
    <x v="1"/>
    <x v="1"/>
    <n v="1"/>
    <n v="200"/>
    <n v="200"/>
  </r>
  <r>
    <s v="ORD1058"/>
    <s v="2026-02-16"/>
    <s v="Customer 1"/>
    <x v="2"/>
    <s v="Electronics"/>
    <x v="1"/>
    <x v="3"/>
    <n v="7"/>
    <n v="200"/>
    <n v="1400"/>
  </r>
  <r>
    <s v="ORD1059"/>
    <s v="2026-04-13"/>
    <s v="Customer 23"/>
    <x v="2"/>
    <s v="Electronics"/>
    <x v="0"/>
    <x v="2"/>
    <n v="3"/>
    <n v="200"/>
    <n v="600"/>
  </r>
  <r>
    <s v="ORD1060"/>
    <s v="2026-05-09"/>
    <s v="Customer 11"/>
    <x v="4"/>
    <s v="Furniture"/>
    <x v="1"/>
    <x v="3"/>
    <n v="1"/>
    <n v="120"/>
    <n v="120"/>
  </r>
  <r>
    <s v="ORD1061"/>
    <s v="2026-02-08"/>
    <s v="Customer 3"/>
    <x v="3"/>
    <s v="Electronics"/>
    <x v="0"/>
    <x v="4"/>
    <n v="3"/>
    <n v="35"/>
    <n v="105"/>
  </r>
  <r>
    <s v="ORD1062"/>
    <s v="2026-03-07"/>
    <s v="Customer 39"/>
    <x v="0"/>
    <s v="Office"/>
    <x v="1"/>
    <x v="3"/>
    <n v="9"/>
    <n v="150"/>
    <n v="1350"/>
  </r>
  <r>
    <s v="ORD1063"/>
    <s v="2026-04-20"/>
    <s v="Customer 8"/>
    <x v="3"/>
    <s v="Electronics"/>
    <x v="1"/>
    <x v="4"/>
    <n v="8"/>
    <n v="35"/>
    <n v="280"/>
  </r>
  <r>
    <s v="ORD1064"/>
    <s v="2026-04-24"/>
    <s v="Customer 42"/>
    <x v="0"/>
    <s v="Office"/>
    <x v="0"/>
    <x v="4"/>
    <n v="8"/>
    <n v="150"/>
    <n v="1200"/>
  </r>
  <r>
    <s v="ORD1065"/>
    <s v="2026-05-29"/>
    <s v="Customer 31"/>
    <x v="1"/>
    <s v="Electronics"/>
    <x v="1"/>
    <x v="1"/>
    <n v="2"/>
    <n v="20"/>
    <n v="40"/>
  </r>
  <r>
    <s v="ORD1066"/>
    <s v="2026-05-12"/>
    <s v="Customer 20"/>
    <x v="1"/>
    <s v="Electronics"/>
    <x v="2"/>
    <x v="3"/>
    <n v="3"/>
    <n v="20"/>
    <n v="60"/>
  </r>
  <r>
    <s v="ORD1067"/>
    <s v="2026-05-29"/>
    <s v="Customer 40"/>
    <x v="5"/>
    <s v="Electronics"/>
    <x v="0"/>
    <x v="0"/>
    <n v="10"/>
    <n v="800"/>
    <n v="8000"/>
  </r>
  <r>
    <s v="ORD1068"/>
    <s v="2026-05-22"/>
    <s v="Customer 10"/>
    <x v="5"/>
    <s v="Electronics"/>
    <x v="3"/>
    <x v="4"/>
    <n v="3"/>
    <n v="800"/>
    <n v="2400"/>
  </r>
  <r>
    <s v="ORD1069"/>
    <s v="2026-03-10"/>
    <s v="Customer 49"/>
    <x v="2"/>
    <s v="Electronics"/>
    <x v="3"/>
    <x v="0"/>
    <n v="3"/>
    <n v="200"/>
    <n v="600"/>
  </r>
  <r>
    <s v="ORD1070"/>
    <s v="2026-04-13"/>
    <s v="Customer 46"/>
    <x v="1"/>
    <s v="Electronics"/>
    <x v="1"/>
    <x v="4"/>
    <n v="4"/>
    <n v="20"/>
    <n v="80"/>
  </r>
  <r>
    <s v="ORD1071"/>
    <s v="2026-01-17"/>
    <s v="Customer 43"/>
    <x v="5"/>
    <s v="Electronics"/>
    <x v="2"/>
    <x v="2"/>
    <n v="8"/>
    <n v="800"/>
    <n v="6400"/>
  </r>
  <r>
    <s v="ORD1072"/>
    <s v="2026-03-16"/>
    <s v="Customer 45"/>
    <x v="5"/>
    <s v="Electronics"/>
    <x v="0"/>
    <x v="4"/>
    <n v="5"/>
    <n v="800"/>
    <n v="4000"/>
  </r>
  <r>
    <s v="ORD1073"/>
    <s v="2026-01-20"/>
    <s v="Customer 46"/>
    <x v="3"/>
    <s v="Electronics"/>
    <x v="2"/>
    <x v="2"/>
    <n v="8"/>
    <n v="35"/>
    <n v="280"/>
  </r>
  <r>
    <s v="ORD1074"/>
    <s v="2026-05-10"/>
    <s v="Customer 45"/>
    <x v="5"/>
    <s v="Electronics"/>
    <x v="0"/>
    <x v="0"/>
    <n v="2"/>
    <n v="800"/>
    <n v="1600"/>
  </r>
  <r>
    <s v="ORD1075"/>
    <s v="2026-01-21"/>
    <s v="Customer 16"/>
    <x v="0"/>
    <s v="Office"/>
    <x v="0"/>
    <x v="2"/>
    <n v="8"/>
    <n v="150"/>
    <n v="1200"/>
  </r>
  <r>
    <s v="ORD1076"/>
    <s v="2026-03-14"/>
    <s v="Customer 16"/>
    <x v="4"/>
    <s v="Furniture"/>
    <x v="0"/>
    <x v="1"/>
    <n v="7"/>
    <n v="120"/>
    <n v="840"/>
  </r>
  <r>
    <s v="ORD1077"/>
    <s v="2026-05-15"/>
    <s v="Customer 34"/>
    <x v="4"/>
    <s v="Furniture"/>
    <x v="0"/>
    <x v="3"/>
    <n v="7"/>
    <n v="120"/>
    <n v="840"/>
  </r>
  <r>
    <s v="ORD1078"/>
    <s v="2026-02-07"/>
    <s v="Customer 39"/>
    <x v="3"/>
    <s v="Electronics"/>
    <x v="2"/>
    <x v="1"/>
    <n v="9"/>
    <n v="35"/>
    <n v="315"/>
  </r>
  <r>
    <s v="ORD1079"/>
    <s v="2026-03-11"/>
    <s v="Customer 33"/>
    <x v="0"/>
    <s v="Office"/>
    <x v="2"/>
    <x v="3"/>
    <n v="10"/>
    <n v="150"/>
    <n v="1500"/>
  </r>
  <r>
    <s v="ORD1080"/>
    <s v="2026-04-05"/>
    <s v="Customer 49"/>
    <x v="5"/>
    <s v="Electronics"/>
    <x v="0"/>
    <x v="0"/>
    <n v="9"/>
    <n v="800"/>
    <n v="7200"/>
  </r>
  <r>
    <s v="ORD1081"/>
    <s v="2026-05-28"/>
    <s v="Customer 3"/>
    <x v="2"/>
    <s v="Electronics"/>
    <x v="0"/>
    <x v="2"/>
    <n v="3"/>
    <n v="200"/>
    <n v="600"/>
  </r>
  <r>
    <s v="ORD1082"/>
    <s v="2026-04-18"/>
    <s v="Customer 37"/>
    <x v="0"/>
    <s v="Office"/>
    <x v="3"/>
    <x v="1"/>
    <n v="6"/>
    <n v="150"/>
    <n v="900"/>
  </r>
  <r>
    <s v="ORD1083"/>
    <s v="2026-05-09"/>
    <s v="Customer 44"/>
    <x v="1"/>
    <s v="Electronics"/>
    <x v="2"/>
    <x v="1"/>
    <n v="1"/>
    <n v="20"/>
    <n v="20"/>
  </r>
  <r>
    <s v="ORD1084"/>
    <s v="2026-03-18"/>
    <s v="Customer 37"/>
    <x v="1"/>
    <s v="Electronics"/>
    <x v="2"/>
    <x v="4"/>
    <n v="1"/>
    <n v="20"/>
    <n v="20"/>
  </r>
  <r>
    <s v="ORD1085"/>
    <s v="2026-02-19"/>
    <s v="Customer 43"/>
    <x v="1"/>
    <s v="Electronics"/>
    <x v="0"/>
    <x v="2"/>
    <n v="10"/>
    <n v="20"/>
    <n v="200"/>
  </r>
  <r>
    <s v="ORD1086"/>
    <s v="2026-01-02"/>
    <s v="Customer 7"/>
    <x v="3"/>
    <s v="Electronics"/>
    <x v="3"/>
    <x v="4"/>
    <n v="5"/>
    <n v="35"/>
    <n v="175"/>
  </r>
  <r>
    <s v="ORD1087"/>
    <s v="2026-02-15"/>
    <s v="Customer 12"/>
    <x v="5"/>
    <s v="Electronics"/>
    <x v="0"/>
    <x v="4"/>
    <n v="8"/>
    <n v="800"/>
    <n v="6400"/>
  </r>
  <r>
    <s v="ORD1088"/>
    <s v="2026-02-11"/>
    <s v="Customer 31"/>
    <x v="1"/>
    <s v="Electronics"/>
    <x v="1"/>
    <x v="0"/>
    <n v="7"/>
    <n v="20"/>
    <n v="140"/>
  </r>
  <r>
    <s v="ORD1089"/>
    <s v="2026-01-01"/>
    <s v="Customer 15"/>
    <x v="1"/>
    <s v="Electronics"/>
    <x v="0"/>
    <x v="1"/>
    <n v="2"/>
    <n v="20"/>
    <n v="40"/>
  </r>
  <r>
    <s v="ORD1090"/>
    <s v="2026-02-04"/>
    <s v="Customer 14"/>
    <x v="3"/>
    <s v="Electronics"/>
    <x v="3"/>
    <x v="3"/>
    <n v="8"/>
    <n v="35"/>
    <n v="280"/>
  </r>
  <r>
    <s v="ORD1091"/>
    <s v="2026-02-10"/>
    <s v="Customer 42"/>
    <x v="4"/>
    <s v="Furniture"/>
    <x v="3"/>
    <x v="4"/>
    <n v="5"/>
    <n v="120"/>
    <n v="600"/>
  </r>
  <r>
    <s v="ORD1092"/>
    <s v="2026-03-24"/>
    <s v="Customer 25"/>
    <x v="0"/>
    <s v="Office"/>
    <x v="3"/>
    <x v="2"/>
    <n v="6"/>
    <n v="150"/>
    <n v="900"/>
  </r>
  <r>
    <s v="ORD1093"/>
    <s v="2026-05-27"/>
    <s v="Customer 18"/>
    <x v="3"/>
    <s v="Electronics"/>
    <x v="0"/>
    <x v="2"/>
    <n v="4"/>
    <n v="35"/>
    <n v="140"/>
  </r>
  <r>
    <s v="ORD1094"/>
    <s v="2026-01-15"/>
    <s v="Customer 50"/>
    <x v="4"/>
    <s v="Furniture"/>
    <x v="3"/>
    <x v="0"/>
    <n v="6"/>
    <n v="120"/>
    <n v="720"/>
  </r>
  <r>
    <s v="ORD1095"/>
    <s v="2026-05-03"/>
    <s v="Customer 50"/>
    <x v="0"/>
    <s v="Office"/>
    <x v="1"/>
    <x v="0"/>
    <n v="5"/>
    <n v="150"/>
    <n v="750"/>
  </r>
  <r>
    <s v="ORD1096"/>
    <s v="2026-01-21"/>
    <s v="Customer 12"/>
    <x v="2"/>
    <s v="Electronics"/>
    <x v="2"/>
    <x v="3"/>
    <n v="3"/>
    <n v="200"/>
    <n v="600"/>
  </r>
  <r>
    <s v="ORD1097"/>
    <s v="2026-01-30"/>
    <s v="Customer 22"/>
    <x v="1"/>
    <s v="Electronics"/>
    <x v="1"/>
    <x v="1"/>
    <n v="2"/>
    <n v="20"/>
    <n v="40"/>
  </r>
  <r>
    <s v="ORD1098"/>
    <s v="2026-02-12"/>
    <s v="Customer 24"/>
    <x v="1"/>
    <s v="Electronics"/>
    <x v="0"/>
    <x v="1"/>
    <n v="8"/>
    <n v="20"/>
    <n v="160"/>
  </r>
  <r>
    <s v="ORD1099"/>
    <s v="2026-03-29"/>
    <s v="Customer 11"/>
    <x v="2"/>
    <s v="Electronics"/>
    <x v="0"/>
    <x v="1"/>
    <n v="10"/>
    <n v="200"/>
    <n v="2000"/>
  </r>
  <r>
    <s v="ORD1100"/>
    <s v="2026-02-16"/>
    <s v="Customer 39"/>
    <x v="5"/>
    <s v="Electronics"/>
    <x v="0"/>
    <x v="4"/>
    <n v="5"/>
    <n v="800"/>
    <n v="4000"/>
  </r>
  <r>
    <s v="ORD1101"/>
    <s v="2026-03-02"/>
    <s v="Customer 46"/>
    <x v="3"/>
    <s v="Electronics"/>
    <x v="0"/>
    <x v="1"/>
    <n v="4"/>
    <n v="35"/>
    <n v="1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B83BC8-EC0B-42F3-A2B2-385EFB8806B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10">
    <pivotField showAll="0"/>
    <pivotField showAll="0"/>
    <pivotField showAll="0"/>
    <pivotField showAll="0">
      <items count="7">
        <item x="4"/>
        <item x="3"/>
        <item x="5"/>
        <item x="2"/>
        <item x="1"/>
        <item x="0"/>
        <item t="default"/>
      </items>
    </pivotField>
    <pivotField showAll="0"/>
    <pivotField axis="axisRow" showAll="0">
      <items count="5">
        <item x="1"/>
        <item x="3"/>
        <item x="0"/>
        <item x="2"/>
        <item t="default"/>
      </items>
    </pivotField>
    <pivotField showAll="0">
      <items count="6">
        <item x="4"/>
        <item x="0"/>
        <item x="1"/>
        <item x="2"/>
        <item x="3"/>
        <item t="default"/>
      </items>
    </pivotField>
    <pivotField showAll="0"/>
    <pivotField showAll="0"/>
    <pivotField dataField="1" showAll="0"/>
  </pivotFields>
  <rowFields count="1">
    <field x="5"/>
  </rowFields>
  <rowItems count="5">
    <i>
      <x/>
    </i>
    <i>
      <x v="1"/>
    </i>
    <i>
      <x v="2"/>
    </i>
    <i>
      <x v="3"/>
    </i>
    <i t="grand">
      <x/>
    </i>
  </rowItems>
  <colItems count="1">
    <i/>
  </colItems>
  <dataFields count="1">
    <dataField name="Sum of Total sales" fld="9"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204D9C0-0FB8-42A4-B267-F2E87530D85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10">
    <pivotField showAll="0"/>
    <pivotField showAll="0"/>
    <pivotField showAll="0"/>
    <pivotField showAll="0"/>
    <pivotField showAll="0"/>
    <pivotField showAll="0">
      <items count="5">
        <item x="1"/>
        <item x="3"/>
        <item x="0"/>
        <item x="2"/>
        <item t="default"/>
      </items>
    </pivotField>
    <pivotField axis="axisRow" showAll="0">
      <items count="6">
        <item x="4"/>
        <item x="0"/>
        <item x="1"/>
        <item x="2"/>
        <item x="3"/>
        <item t="default"/>
      </items>
    </pivotField>
    <pivotField showAll="0"/>
    <pivotField showAll="0"/>
    <pivotField dataField="1" showAll="0"/>
  </pivotFields>
  <rowFields count="1">
    <field x="6"/>
  </rowFields>
  <rowItems count="6">
    <i>
      <x/>
    </i>
    <i>
      <x v="1"/>
    </i>
    <i>
      <x v="2"/>
    </i>
    <i>
      <x v="3"/>
    </i>
    <i>
      <x v="4"/>
    </i>
    <i t="grand">
      <x/>
    </i>
  </rowItems>
  <colItems count="1">
    <i/>
  </colItems>
  <dataFields count="1">
    <dataField name="Sum of Total sales" fld="9"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5F0DF70-2886-41A3-A436-DC78149D779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0" firstHeaderRow="1" firstDataRow="1" firstDataCol="1"/>
  <pivotFields count="10">
    <pivotField showAll="0"/>
    <pivotField showAll="0"/>
    <pivotField showAll="0"/>
    <pivotField axis="axisRow" showAll="0">
      <items count="7">
        <item x="4"/>
        <item x="3"/>
        <item x="5"/>
        <item x="2"/>
        <item x="1"/>
        <item x="0"/>
        <item t="default"/>
      </items>
    </pivotField>
    <pivotField showAll="0"/>
    <pivotField showAll="0">
      <items count="5">
        <item x="1"/>
        <item x="3"/>
        <item x="0"/>
        <item x="2"/>
        <item t="default"/>
      </items>
    </pivotField>
    <pivotField showAll="0"/>
    <pivotField showAll="0"/>
    <pivotField showAll="0"/>
    <pivotField dataField="1" showAll="0"/>
  </pivotFields>
  <rowFields count="1">
    <field x="3"/>
  </rowFields>
  <rowItems count="7">
    <i>
      <x/>
    </i>
    <i>
      <x v="1"/>
    </i>
    <i>
      <x v="2"/>
    </i>
    <i>
      <x v="3"/>
    </i>
    <i>
      <x v="4"/>
    </i>
    <i>
      <x v="5"/>
    </i>
    <i t="grand">
      <x/>
    </i>
  </rowItems>
  <colItems count="1">
    <i/>
  </colItems>
  <dataFields count="1">
    <dataField name="Sum of Total sales" fld="9"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9CE38C5D-EBD1-40DA-82AD-F633ADA0DB36}" sourceName="City">
  <pivotTables>
    <pivotTable tabId="4" name="PivotTable2"/>
    <pivotTable tabId="2" name="PivotTable1"/>
    <pivotTable tabId="6" name="PivotTable4"/>
  </pivotTables>
  <data>
    <tabular pivotCacheId="601377104">
      <items count="4">
        <i x="1" s="1"/>
        <i x="3"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B0844AED-3A79-4F66-A2B0-1123A6D57488}" cache="Slicer_City" caption="Cit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02476-5333-4135-968D-4DCA372DEBF8}">
  <dimension ref="A3:E11"/>
  <sheetViews>
    <sheetView workbookViewId="0">
      <selection activeCell="E11" sqref="E11"/>
    </sheetView>
  </sheetViews>
  <sheetFormatPr defaultRowHeight="14.5" x14ac:dyDescent="0.35"/>
  <cols>
    <col min="1" max="1" width="12.36328125" bestFit="1" customWidth="1"/>
    <col min="2" max="2" width="16" bestFit="1" customWidth="1"/>
  </cols>
  <sheetData>
    <row r="3" spans="1:5" x14ac:dyDescent="0.35">
      <c r="A3" s="1" t="s">
        <v>240</v>
      </c>
      <c r="B3" t="s">
        <v>242</v>
      </c>
    </row>
    <row r="4" spans="1:5" x14ac:dyDescent="0.35">
      <c r="A4" s="2" t="s">
        <v>21</v>
      </c>
      <c r="B4">
        <v>18140</v>
      </c>
    </row>
    <row r="5" spans="1:5" x14ac:dyDescent="0.35">
      <c r="A5" s="2" t="s">
        <v>41</v>
      </c>
      <c r="B5">
        <v>16980</v>
      </c>
    </row>
    <row r="6" spans="1:5" x14ac:dyDescent="0.35">
      <c r="A6" s="2" t="s">
        <v>14</v>
      </c>
      <c r="B6">
        <v>48610</v>
      </c>
    </row>
    <row r="7" spans="1:5" x14ac:dyDescent="0.35">
      <c r="A7" s="2" t="s">
        <v>30</v>
      </c>
      <c r="B7">
        <v>19455</v>
      </c>
    </row>
    <row r="8" spans="1:5" x14ac:dyDescent="0.35">
      <c r="A8" s="2" t="s">
        <v>241</v>
      </c>
      <c r="B8">
        <v>103185</v>
      </c>
    </row>
    <row r="11" spans="1:5" x14ac:dyDescent="0.35">
      <c r="E11">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306C5-E878-4087-B82A-CB575878515C}">
  <dimension ref="A1:I28"/>
  <sheetViews>
    <sheetView tabSelected="1" topLeftCell="E2" zoomScale="80" zoomScaleNormal="80" workbookViewId="0">
      <selection activeCell="S2" sqref="S2"/>
    </sheetView>
  </sheetViews>
  <sheetFormatPr defaultRowHeight="14.5" x14ac:dyDescent="0.35"/>
  <cols>
    <col min="1" max="1" width="23.453125" bestFit="1" customWidth="1"/>
    <col min="2" max="2" width="21.08984375" bestFit="1" customWidth="1"/>
    <col min="3" max="3" width="14.7265625" bestFit="1" customWidth="1"/>
    <col min="4" max="4" width="27.453125" bestFit="1" customWidth="1"/>
    <col min="9" max="9" width="87.08984375" bestFit="1" customWidth="1"/>
  </cols>
  <sheetData>
    <row r="1" spans="1:9" ht="46" x14ac:dyDescent="0.35">
      <c r="A1" s="6" t="s">
        <v>243</v>
      </c>
      <c r="B1" s="6" t="s">
        <v>244</v>
      </c>
      <c r="C1" s="6" t="s">
        <v>245</v>
      </c>
      <c r="D1" s="6" t="s">
        <v>246</v>
      </c>
      <c r="I1" s="9" t="s">
        <v>252</v>
      </c>
    </row>
    <row r="2" spans="1:9" ht="26" x14ac:dyDescent="0.35">
      <c r="A2" s="7">
        <v>103185</v>
      </c>
      <c r="B2" s="8" t="s">
        <v>79</v>
      </c>
      <c r="C2" s="8" t="s">
        <v>14</v>
      </c>
      <c r="D2" s="8" t="s">
        <v>15</v>
      </c>
    </row>
    <row r="3" spans="1:9" x14ac:dyDescent="0.35">
      <c r="A3" s="3"/>
      <c r="B3" s="3"/>
      <c r="C3" s="3"/>
      <c r="D3" s="3"/>
    </row>
    <row r="24" spans="9:9" ht="21" x14ac:dyDescent="0.5">
      <c r="I24" s="5" t="s">
        <v>247</v>
      </c>
    </row>
    <row r="25" spans="9:9" ht="21" x14ac:dyDescent="0.5">
      <c r="I25" s="4" t="s">
        <v>248</v>
      </c>
    </row>
    <row r="26" spans="9:9" ht="21" x14ac:dyDescent="0.5">
      <c r="I26" s="4" t="s">
        <v>249</v>
      </c>
    </row>
    <row r="27" spans="9:9" ht="21" x14ac:dyDescent="0.5">
      <c r="I27" s="4" t="s">
        <v>250</v>
      </c>
    </row>
    <row r="28" spans="9:9" ht="21" x14ac:dyDescent="0.5">
      <c r="I28" s="4" t="s">
        <v>251</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45CBE-6B0A-482B-BA3D-118F5B7CC9DB}">
  <dimension ref="A3:B9"/>
  <sheetViews>
    <sheetView workbookViewId="0">
      <selection activeCell="A3" sqref="A3:B9"/>
    </sheetView>
  </sheetViews>
  <sheetFormatPr defaultRowHeight="14.5" x14ac:dyDescent="0.35"/>
  <cols>
    <col min="1" max="1" width="12.36328125" bestFit="1" customWidth="1"/>
    <col min="2" max="2" width="16" bestFit="1" customWidth="1"/>
  </cols>
  <sheetData>
    <row r="3" spans="1:2" x14ac:dyDescent="0.35">
      <c r="A3" s="1" t="s">
        <v>240</v>
      </c>
      <c r="B3" t="s">
        <v>242</v>
      </c>
    </row>
    <row r="4" spans="1:2" x14ac:dyDescent="0.35">
      <c r="A4" s="2" t="s">
        <v>70</v>
      </c>
      <c r="B4">
        <v>27205</v>
      </c>
    </row>
    <row r="5" spans="1:2" x14ac:dyDescent="0.35">
      <c r="A5" s="2" t="s">
        <v>15</v>
      </c>
      <c r="B5">
        <v>32945</v>
      </c>
    </row>
    <row r="6" spans="1:2" x14ac:dyDescent="0.35">
      <c r="A6" s="2" t="s">
        <v>22</v>
      </c>
      <c r="B6">
        <v>9095</v>
      </c>
    </row>
    <row r="7" spans="1:2" x14ac:dyDescent="0.35">
      <c r="A7" s="2" t="s">
        <v>31</v>
      </c>
      <c r="B7">
        <v>18550</v>
      </c>
    </row>
    <row r="8" spans="1:2" x14ac:dyDescent="0.35">
      <c r="A8" s="2" t="s">
        <v>46</v>
      </c>
      <c r="B8">
        <v>15390</v>
      </c>
    </row>
    <row r="9" spans="1:2" x14ac:dyDescent="0.35">
      <c r="A9" s="2" t="s">
        <v>241</v>
      </c>
      <c r="B9">
        <v>103185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8E6CD-197D-4709-83D6-4C5AD25967E9}">
  <dimension ref="A3:B10"/>
  <sheetViews>
    <sheetView workbookViewId="0">
      <selection activeCell="A3" sqref="A3:B10"/>
    </sheetView>
  </sheetViews>
  <sheetFormatPr defaultRowHeight="14.5" x14ac:dyDescent="0.35"/>
  <cols>
    <col min="1" max="1" width="12.36328125" bestFit="1" customWidth="1"/>
    <col min="2" max="2" width="16" bestFit="1" customWidth="1"/>
  </cols>
  <sheetData>
    <row r="3" spans="1:2" x14ac:dyDescent="0.35">
      <c r="A3" s="1" t="s">
        <v>240</v>
      </c>
      <c r="B3" t="s">
        <v>242</v>
      </c>
    </row>
    <row r="4" spans="1:2" x14ac:dyDescent="0.35">
      <c r="A4" s="2" t="s">
        <v>63</v>
      </c>
      <c r="B4">
        <v>7680</v>
      </c>
    </row>
    <row r="5" spans="1:2" x14ac:dyDescent="0.35">
      <c r="A5" s="2" t="s">
        <v>45</v>
      </c>
      <c r="B5">
        <v>3675</v>
      </c>
    </row>
    <row r="6" spans="1:2" x14ac:dyDescent="0.35">
      <c r="A6" s="2" t="s">
        <v>79</v>
      </c>
      <c r="B6">
        <v>60000</v>
      </c>
    </row>
    <row r="7" spans="1:2" x14ac:dyDescent="0.35">
      <c r="A7" s="2" t="s">
        <v>26</v>
      </c>
      <c r="B7">
        <v>16200</v>
      </c>
    </row>
    <row r="8" spans="1:2" x14ac:dyDescent="0.35">
      <c r="A8" s="2" t="s">
        <v>19</v>
      </c>
      <c r="B8">
        <v>1980</v>
      </c>
    </row>
    <row r="9" spans="1:2" x14ac:dyDescent="0.35">
      <c r="A9" s="2" t="s">
        <v>12</v>
      </c>
      <c r="B9">
        <v>13650</v>
      </c>
    </row>
    <row r="10" spans="1:2" x14ac:dyDescent="0.35">
      <c r="A10" s="2" t="s">
        <v>241</v>
      </c>
      <c r="B10">
        <v>103185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1"/>
  <sheetViews>
    <sheetView topLeftCell="A84" workbookViewId="0">
      <selection activeCellId="1" sqref="A1:J101 A1"/>
    </sheetView>
  </sheetViews>
  <sheetFormatPr defaultRowHeight="14.5" x14ac:dyDescent="0.35"/>
  <cols>
    <col min="1" max="1" width="8.54296875" bestFit="1" customWidth="1"/>
    <col min="2" max="2" width="10.08984375" bestFit="1" customWidth="1"/>
    <col min="3" max="3" width="11.36328125" bestFit="1" customWidth="1"/>
    <col min="5" max="5" width="9.7265625" bestFit="1" customWidth="1"/>
    <col min="6" max="6" width="6.453125" bestFit="1" customWidth="1"/>
    <col min="7" max="7" width="10.81640625" bestFit="1" customWidth="1"/>
    <col min="8" max="8" width="8" bestFit="1" customWidth="1"/>
    <col min="10" max="10" width="9.54296875" bestFit="1" customWidth="1"/>
  </cols>
  <sheetData>
    <row r="1" spans="1:10" x14ac:dyDescent="0.35">
      <c r="A1" t="s">
        <v>0</v>
      </c>
      <c r="B1" t="s">
        <v>1</v>
      </c>
      <c r="C1" t="s">
        <v>2</v>
      </c>
      <c r="D1" t="s">
        <v>3</v>
      </c>
      <c r="E1" t="s">
        <v>4</v>
      </c>
      <c r="F1" t="s">
        <v>5</v>
      </c>
      <c r="G1" t="s">
        <v>6</v>
      </c>
      <c r="H1" t="s">
        <v>7</v>
      </c>
      <c r="I1" t="s">
        <v>8</v>
      </c>
      <c r="J1" t="s">
        <v>239</v>
      </c>
    </row>
    <row r="2" spans="1:10" x14ac:dyDescent="0.35">
      <c r="A2" t="s">
        <v>9</v>
      </c>
      <c r="B2" t="s">
        <v>10</v>
      </c>
      <c r="C2" t="s">
        <v>11</v>
      </c>
      <c r="D2" t="s">
        <v>12</v>
      </c>
      <c r="E2" t="s">
        <v>13</v>
      </c>
      <c r="F2" t="s">
        <v>14</v>
      </c>
      <c r="G2" t="s">
        <v>15</v>
      </c>
      <c r="H2">
        <v>1</v>
      </c>
      <c r="I2">
        <v>150</v>
      </c>
      <c r="J2">
        <f>H2*I2</f>
        <v>150</v>
      </c>
    </row>
    <row r="3" spans="1:10" x14ac:dyDescent="0.35">
      <c r="A3" t="s">
        <v>16</v>
      </c>
      <c r="B3" t="s">
        <v>17</v>
      </c>
      <c r="C3" t="s">
        <v>18</v>
      </c>
      <c r="D3" t="s">
        <v>19</v>
      </c>
      <c r="E3" t="s">
        <v>20</v>
      </c>
      <c r="F3" t="s">
        <v>21</v>
      </c>
      <c r="G3" t="s">
        <v>22</v>
      </c>
      <c r="H3">
        <v>7</v>
      </c>
      <c r="I3">
        <v>20</v>
      </c>
      <c r="J3">
        <f t="shared" ref="J3:J66" si="0">H3*I3</f>
        <v>140</v>
      </c>
    </row>
    <row r="4" spans="1:10" x14ac:dyDescent="0.35">
      <c r="A4" t="s">
        <v>23</v>
      </c>
      <c r="B4" t="s">
        <v>24</v>
      </c>
      <c r="C4" t="s">
        <v>25</v>
      </c>
      <c r="D4" t="s">
        <v>26</v>
      </c>
      <c r="E4" t="s">
        <v>20</v>
      </c>
      <c r="F4" t="s">
        <v>14</v>
      </c>
      <c r="G4" t="s">
        <v>15</v>
      </c>
      <c r="H4">
        <v>1</v>
      </c>
      <c r="I4">
        <v>200</v>
      </c>
      <c r="J4">
        <f t="shared" si="0"/>
        <v>200</v>
      </c>
    </row>
    <row r="5" spans="1:10" x14ac:dyDescent="0.35">
      <c r="A5" t="s">
        <v>27</v>
      </c>
      <c r="B5" t="s">
        <v>28</v>
      </c>
      <c r="C5" t="s">
        <v>29</v>
      </c>
      <c r="D5" t="s">
        <v>19</v>
      </c>
      <c r="E5" t="s">
        <v>20</v>
      </c>
      <c r="F5" t="s">
        <v>30</v>
      </c>
      <c r="G5" t="s">
        <v>31</v>
      </c>
      <c r="H5">
        <v>4</v>
      </c>
      <c r="I5">
        <v>20</v>
      </c>
      <c r="J5">
        <f t="shared" si="0"/>
        <v>80</v>
      </c>
    </row>
    <row r="6" spans="1:10" x14ac:dyDescent="0.35">
      <c r="A6" t="s">
        <v>32</v>
      </c>
      <c r="B6" t="s">
        <v>33</v>
      </c>
      <c r="C6" t="s">
        <v>34</v>
      </c>
      <c r="D6" t="s">
        <v>19</v>
      </c>
      <c r="E6" t="s">
        <v>20</v>
      </c>
      <c r="F6" t="s">
        <v>21</v>
      </c>
      <c r="G6" t="s">
        <v>22</v>
      </c>
      <c r="H6">
        <v>2</v>
      </c>
      <c r="I6">
        <v>20</v>
      </c>
      <c r="J6">
        <f t="shared" si="0"/>
        <v>40</v>
      </c>
    </row>
    <row r="7" spans="1:10" x14ac:dyDescent="0.35">
      <c r="A7" t="s">
        <v>35</v>
      </c>
      <c r="B7" t="s">
        <v>36</v>
      </c>
      <c r="C7" t="s">
        <v>37</v>
      </c>
      <c r="D7" t="s">
        <v>26</v>
      </c>
      <c r="E7" t="s">
        <v>20</v>
      </c>
      <c r="F7" t="s">
        <v>30</v>
      </c>
      <c r="G7" t="s">
        <v>31</v>
      </c>
      <c r="H7">
        <v>2</v>
      </c>
      <c r="I7">
        <v>200</v>
      </c>
      <c r="J7">
        <f t="shared" si="0"/>
        <v>400</v>
      </c>
    </row>
    <row r="8" spans="1:10" x14ac:dyDescent="0.35">
      <c r="A8" t="s">
        <v>38</v>
      </c>
      <c r="B8" t="s">
        <v>39</v>
      </c>
      <c r="C8" t="s">
        <v>40</v>
      </c>
      <c r="D8" t="s">
        <v>26</v>
      </c>
      <c r="E8" t="s">
        <v>20</v>
      </c>
      <c r="F8" t="s">
        <v>41</v>
      </c>
      <c r="G8" t="s">
        <v>15</v>
      </c>
      <c r="H8">
        <v>9</v>
      </c>
      <c r="I8">
        <v>200</v>
      </c>
      <c r="J8">
        <f>H8*I8</f>
        <v>1800</v>
      </c>
    </row>
    <row r="9" spans="1:10" x14ac:dyDescent="0.35">
      <c r="A9" t="s">
        <v>42</v>
      </c>
      <c r="B9" t="s">
        <v>43</v>
      </c>
      <c r="C9" t="s">
        <v>44</v>
      </c>
      <c r="D9" t="s">
        <v>45</v>
      </c>
      <c r="E9" t="s">
        <v>20</v>
      </c>
      <c r="F9" t="s">
        <v>30</v>
      </c>
      <c r="G9" t="s">
        <v>46</v>
      </c>
      <c r="H9">
        <v>8</v>
      </c>
      <c r="I9">
        <v>35</v>
      </c>
      <c r="J9">
        <f t="shared" si="0"/>
        <v>280</v>
      </c>
    </row>
    <row r="10" spans="1:10" x14ac:dyDescent="0.35">
      <c r="A10" t="s">
        <v>47</v>
      </c>
      <c r="B10" t="s">
        <v>48</v>
      </c>
      <c r="C10" t="s">
        <v>25</v>
      </c>
      <c r="D10" t="s">
        <v>12</v>
      </c>
      <c r="E10" t="s">
        <v>13</v>
      </c>
      <c r="F10" t="s">
        <v>14</v>
      </c>
      <c r="G10" t="s">
        <v>22</v>
      </c>
      <c r="H10">
        <v>9</v>
      </c>
      <c r="I10">
        <v>150</v>
      </c>
      <c r="J10">
        <f>H10*I10</f>
        <v>1350</v>
      </c>
    </row>
    <row r="11" spans="1:10" x14ac:dyDescent="0.35">
      <c r="A11" t="s">
        <v>49</v>
      </c>
      <c r="B11" t="s">
        <v>50</v>
      </c>
      <c r="C11" t="s">
        <v>51</v>
      </c>
      <c r="D11" t="s">
        <v>26</v>
      </c>
      <c r="E11" t="s">
        <v>20</v>
      </c>
      <c r="F11" t="s">
        <v>21</v>
      </c>
      <c r="G11" t="s">
        <v>15</v>
      </c>
      <c r="H11">
        <v>7</v>
      </c>
      <c r="I11">
        <v>200</v>
      </c>
      <c r="J11">
        <f t="shared" si="0"/>
        <v>1400</v>
      </c>
    </row>
    <row r="12" spans="1:10" x14ac:dyDescent="0.35">
      <c r="A12" t="s">
        <v>52</v>
      </c>
      <c r="B12" t="s">
        <v>53</v>
      </c>
      <c r="C12" t="s">
        <v>34</v>
      </c>
      <c r="D12" t="s">
        <v>45</v>
      </c>
      <c r="E12" t="s">
        <v>20</v>
      </c>
      <c r="F12" t="s">
        <v>21</v>
      </c>
      <c r="G12" t="s">
        <v>22</v>
      </c>
      <c r="H12">
        <v>7</v>
      </c>
      <c r="I12">
        <v>35</v>
      </c>
      <c r="J12">
        <f t="shared" si="0"/>
        <v>245</v>
      </c>
    </row>
    <row r="13" spans="1:10" x14ac:dyDescent="0.35">
      <c r="A13" t="s">
        <v>54</v>
      </c>
      <c r="B13" t="s">
        <v>55</v>
      </c>
      <c r="C13" t="s">
        <v>56</v>
      </c>
      <c r="D13" t="s">
        <v>19</v>
      </c>
      <c r="E13" t="s">
        <v>20</v>
      </c>
      <c r="F13" t="s">
        <v>14</v>
      </c>
      <c r="G13" t="s">
        <v>46</v>
      </c>
      <c r="H13">
        <v>8</v>
      </c>
      <c r="I13">
        <v>20</v>
      </c>
      <c r="J13">
        <f t="shared" si="0"/>
        <v>160</v>
      </c>
    </row>
    <row r="14" spans="1:10" x14ac:dyDescent="0.35">
      <c r="A14" t="s">
        <v>57</v>
      </c>
      <c r="B14" t="s">
        <v>58</v>
      </c>
      <c r="C14" t="s">
        <v>59</v>
      </c>
      <c r="D14" t="s">
        <v>45</v>
      </c>
      <c r="E14" t="s">
        <v>20</v>
      </c>
      <c r="F14" t="s">
        <v>14</v>
      </c>
      <c r="G14" t="s">
        <v>15</v>
      </c>
      <c r="H14">
        <v>2</v>
      </c>
      <c r="I14">
        <v>35</v>
      </c>
      <c r="J14">
        <f t="shared" si="0"/>
        <v>70</v>
      </c>
    </row>
    <row r="15" spans="1:10" x14ac:dyDescent="0.35">
      <c r="A15" t="s">
        <v>60</v>
      </c>
      <c r="B15" t="s">
        <v>61</v>
      </c>
      <c r="C15" t="s">
        <v>62</v>
      </c>
      <c r="D15" t="s">
        <v>63</v>
      </c>
      <c r="E15" t="s">
        <v>64</v>
      </c>
      <c r="F15" t="s">
        <v>30</v>
      </c>
      <c r="G15" t="s">
        <v>22</v>
      </c>
      <c r="H15">
        <v>5</v>
      </c>
      <c r="I15">
        <v>120</v>
      </c>
      <c r="J15">
        <f t="shared" si="0"/>
        <v>600</v>
      </c>
    </row>
    <row r="16" spans="1:10" x14ac:dyDescent="0.35">
      <c r="A16" t="s">
        <v>65</v>
      </c>
      <c r="B16" t="s">
        <v>66</v>
      </c>
      <c r="C16" t="s">
        <v>67</v>
      </c>
      <c r="D16" t="s">
        <v>12</v>
      </c>
      <c r="E16" t="s">
        <v>13</v>
      </c>
      <c r="F16" t="s">
        <v>14</v>
      </c>
      <c r="G16" t="s">
        <v>15</v>
      </c>
      <c r="H16">
        <v>9</v>
      </c>
      <c r="I16">
        <v>150</v>
      </c>
      <c r="J16">
        <f t="shared" si="0"/>
        <v>1350</v>
      </c>
    </row>
    <row r="17" spans="1:10" x14ac:dyDescent="0.35">
      <c r="A17" t="s">
        <v>68</v>
      </c>
      <c r="B17" t="s">
        <v>10</v>
      </c>
      <c r="C17" t="s">
        <v>11</v>
      </c>
      <c r="D17" t="s">
        <v>19</v>
      </c>
      <c r="E17" t="s">
        <v>20</v>
      </c>
      <c r="F17" t="s">
        <v>14</v>
      </c>
      <c r="G17" t="s">
        <v>46</v>
      </c>
      <c r="H17">
        <v>7</v>
      </c>
      <c r="I17">
        <v>20</v>
      </c>
      <c r="J17">
        <f t="shared" si="0"/>
        <v>140</v>
      </c>
    </row>
    <row r="18" spans="1:10" x14ac:dyDescent="0.35">
      <c r="A18" t="s">
        <v>69</v>
      </c>
      <c r="B18" t="s">
        <v>36</v>
      </c>
      <c r="C18" t="s">
        <v>56</v>
      </c>
      <c r="D18" t="s">
        <v>26</v>
      </c>
      <c r="E18" t="s">
        <v>20</v>
      </c>
      <c r="F18" t="s">
        <v>21</v>
      </c>
      <c r="G18" t="s">
        <v>70</v>
      </c>
      <c r="H18">
        <v>8</v>
      </c>
      <c r="I18">
        <v>200</v>
      </c>
      <c r="J18">
        <f t="shared" si="0"/>
        <v>1600</v>
      </c>
    </row>
    <row r="19" spans="1:10" x14ac:dyDescent="0.35">
      <c r="A19" t="s">
        <v>71</v>
      </c>
      <c r="B19" t="s">
        <v>72</v>
      </c>
      <c r="C19" t="s">
        <v>29</v>
      </c>
      <c r="D19" t="s">
        <v>19</v>
      </c>
      <c r="E19" t="s">
        <v>20</v>
      </c>
      <c r="F19" t="s">
        <v>21</v>
      </c>
      <c r="G19" t="s">
        <v>46</v>
      </c>
      <c r="H19">
        <v>9</v>
      </c>
      <c r="I19">
        <v>20</v>
      </c>
      <c r="J19">
        <f t="shared" si="0"/>
        <v>180</v>
      </c>
    </row>
    <row r="20" spans="1:10" x14ac:dyDescent="0.35">
      <c r="A20" t="s">
        <v>73</v>
      </c>
      <c r="B20" t="s">
        <v>74</v>
      </c>
      <c r="C20" t="s">
        <v>75</v>
      </c>
      <c r="D20" t="s">
        <v>63</v>
      </c>
      <c r="E20" t="s">
        <v>64</v>
      </c>
      <c r="F20" t="s">
        <v>14</v>
      </c>
      <c r="G20" t="s">
        <v>22</v>
      </c>
      <c r="H20">
        <v>5</v>
      </c>
      <c r="I20">
        <v>120</v>
      </c>
      <c r="J20">
        <f t="shared" si="0"/>
        <v>600</v>
      </c>
    </row>
    <row r="21" spans="1:10" x14ac:dyDescent="0.35">
      <c r="A21" t="s">
        <v>76</v>
      </c>
      <c r="B21" t="s">
        <v>77</v>
      </c>
      <c r="C21" t="s">
        <v>78</v>
      </c>
      <c r="D21" t="s">
        <v>79</v>
      </c>
      <c r="E21" t="s">
        <v>20</v>
      </c>
      <c r="F21" t="s">
        <v>21</v>
      </c>
      <c r="G21" t="s">
        <v>31</v>
      </c>
      <c r="H21">
        <v>7</v>
      </c>
      <c r="I21">
        <v>800</v>
      </c>
      <c r="J21">
        <f t="shared" si="0"/>
        <v>5600</v>
      </c>
    </row>
    <row r="22" spans="1:10" x14ac:dyDescent="0.35">
      <c r="A22" t="s">
        <v>80</v>
      </c>
      <c r="B22" t="s">
        <v>81</v>
      </c>
      <c r="C22" t="s">
        <v>82</v>
      </c>
      <c r="D22" t="s">
        <v>45</v>
      </c>
      <c r="E22" t="s">
        <v>20</v>
      </c>
      <c r="F22" t="s">
        <v>21</v>
      </c>
      <c r="G22" t="s">
        <v>15</v>
      </c>
      <c r="H22">
        <v>8</v>
      </c>
      <c r="I22">
        <v>35</v>
      </c>
      <c r="J22">
        <f t="shared" si="0"/>
        <v>280</v>
      </c>
    </row>
    <row r="23" spans="1:10" x14ac:dyDescent="0.35">
      <c r="A23" t="s">
        <v>83</v>
      </c>
      <c r="B23" t="s">
        <v>84</v>
      </c>
      <c r="C23" t="s">
        <v>37</v>
      </c>
      <c r="D23" t="s">
        <v>45</v>
      </c>
      <c r="E23" t="s">
        <v>20</v>
      </c>
      <c r="F23" t="s">
        <v>41</v>
      </c>
      <c r="G23" t="s">
        <v>22</v>
      </c>
      <c r="H23">
        <v>2</v>
      </c>
      <c r="I23">
        <v>35</v>
      </c>
      <c r="J23">
        <f t="shared" si="0"/>
        <v>70</v>
      </c>
    </row>
    <row r="24" spans="1:10" x14ac:dyDescent="0.35">
      <c r="A24" t="s">
        <v>85</v>
      </c>
      <c r="B24" t="s">
        <v>86</v>
      </c>
      <c r="C24" t="s">
        <v>82</v>
      </c>
      <c r="D24" t="s">
        <v>26</v>
      </c>
      <c r="E24" t="s">
        <v>20</v>
      </c>
      <c r="F24" t="s">
        <v>41</v>
      </c>
      <c r="G24" t="s">
        <v>70</v>
      </c>
      <c r="H24">
        <v>8</v>
      </c>
      <c r="I24">
        <v>200</v>
      </c>
      <c r="J24">
        <f t="shared" si="0"/>
        <v>1600</v>
      </c>
    </row>
    <row r="25" spans="1:10" x14ac:dyDescent="0.35">
      <c r="A25" t="s">
        <v>87</v>
      </c>
      <c r="B25" t="s">
        <v>88</v>
      </c>
      <c r="C25" t="s">
        <v>89</v>
      </c>
      <c r="D25" t="s">
        <v>79</v>
      </c>
      <c r="E25" t="s">
        <v>20</v>
      </c>
      <c r="F25" t="s">
        <v>41</v>
      </c>
      <c r="G25" t="s">
        <v>15</v>
      </c>
      <c r="H25">
        <v>1</v>
      </c>
      <c r="I25">
        <v>800</v>
      </c>
      <c r="J25">
        <f t="shared" si="0"/>
        <v>800</v>
      </c>
    </row>
    <row r="26" spans="1:10" x14ac:dyDescent="0.35">
      <c r="A26" t="s">
        <v>90</v>
      </c>
      <c r="B26" t="s">
        <v>91</v>
      </c>
      <c r="C26" t="s">
        <v>37</v>
      </c>
      <c r="D26" t="s">
        <v>63</v>
      </c>
      <c r="E26" t="s">
        <v>64</v>
      </c>
      <c r="F26" t="s">
        <v>30</v>
      </c>
      <c r="G26" t="s">
        <v>70</v>
      </c>
      <c r="H26">
        <v>6</v>
      </c>
      <c r="I26">
        <v>120</v>
      </c>
      <c r="J26">
        <f t="shared" si="0"/>
        <v>720</v>
      </c>
    </row>
    <row r="27" spans="1:10" x14ac:dyDescent="0.35">
      <c r="A27" t="s">
        <v>92</v>
      </c>
      <c r="B27" t="s">
        <v>93</v>
      </c>
      <c r="C27" t="s">
        <v>94</v>
      </c>
      <c r="D27" t="s">
        <v>63</v>
      </c>
      <c r="E27" t="s">
        <v>64</v>
      </c>
      <c r="F27" t="s">
        <v>30</v>
      </c>
      <c r="G27" t="s">
        <v>70</v>
      </c>
      <c r="H27">
        <v>7</v>
      </c>
      <c r="I27">
        <v>120</v>
      </c>
      <c r="J27">
        <f t="shared" si="0"/>
        <v>840</v>
      </c>
    </row>
    <row r="28" spans="1:10" x14ac:dyDescent="0.35">
      <c r="A28" t="s">
        <v>95</v>
      </c>
      <c r="B28" t="s">
        <v>96</v>
      </c>
      <c r="C28" t="s">
        <v>44</v>
      </c>
      <c r="D28" t="s">
        <v>19</v>
      </c>
      <c r="E28" t="s">
        <v>20</v>
      </c>
      <c r="F28" t="s">
        <v>14</v>
      </c>
      <c r="G28" t="s">
        <v>31</v>
      </c>
      <c r="H28">
        <v>1</v>
      </c>
      <c r="I28">
        <v>20</v>
      </c>
      <c r="J28">
        <f t="shared" si="0"/>
        <v>20</v>
      </c>
    </row>
    <row r="29" spans="1:10" x14ac:dyDescent="0.35">
      <c r="A29" t="s">
        <v>97</v>
      </c>
      <c r="B29" t="s">
        <v>98</v>
      </c>
      <c r="C29" t="s">
        <v>62</v>
      </c>
      <c r="D29" t="s">
        <v>26</v>
      </c>
      <c r="E29" t="s">
        <v>20</v>
      </c>
      <c r="F29" t="s">
        <v>21</v>
      </c>
      <c r="G29" t="s">
        <v>46</v>
      </c>
      <c r="H29">
        <v>2</v>
      </c>
      <c r="I29">
        <v>200</v>
      </c>
      <c r="J29">
        <f t="shared" si="0"/>
        <v>400</v>
      </c>
    </row>
    <row r="30" spans="1:10" x14ac:dyDescent="0.35">
      <c r="A30" t="s">
        <v>99</v>
      </c>
      <c r="B30" t="s">
        <v>55</v>
      </c>
      <c r="C30" t="s">
        <v>100</v>
      </c>
      <c r="D30" t="s">
        <v>12</v>
      </c>
      <c r="E30" t="s">
        <v>13</v>
      </c>
      <c r="F30" t="s">
        <v>41</v>
      </c>
      <c r="G30" t="s">
        <v>46</v>
      </c>
      <c r="H30">
        <v>2</v>
      </c>
      <c r="I30">
        <v>150</v>
      </c>
      <c r="J30">
        <f t="shared" si="0"/>
        <v>300</v>
      </c>
    </row>
    <row r="31" spans="1:10" x14ac:dyDescent="0.35">
      <c r="A31" t="s">
        <v>101</v>
      </c>
      <c r="B31" t="s">
        <v>102</v>
      </c>
      <c r="C31" t="s">
        <v>103</v>
      </c>
      <c r="D31" t="s">
        <v>79</v>
      </c>
      <c r="E31" t="s">
        <v>20</v>
      </c>
      <c r="F31" t="s">
        <v>21</v>
      </c>
      <c r="G31" t="s">
        <v>46</v>
      </c>
      <c r="H31">
        <v>3</v>
      </c>
      <c r="I31">
        <v>800</v>
      </c>
      <c r="J31">
        <f t="shared" si="0"/>
        <v>2400</v>
      </c>
    </row>
    <row r="32" spans="1:10" x14ac:dyDescent="0.35">
      <c r="A32" t="s">
        <v>104</v>
      </c>
      <c r="B32" t="s">
        <v>105</v>
      </c>
      <c r="C32" t="s">
        <v>106</v>
      </c>
      <c r="D32" t="s">
        <v>63</v>
      </c>
      <c r="E32" t="s">
        <v>64</v>
      </c>
      <c r="F32" t="s">
        <v>21</v>
      </c>
      <c r="G32" t="s">
        <v>46</v>
      </c>
      <c r="H32">
        <v>9</v>
      </c>
      <c r="I32">
        <v>120</v>
      </c>
      <c r="J32">
        <f t="shared" si="0"/>
        <v>1080</v>
      </c>
    </row>
    <row r="33" spans="1:10" x14ac:dyDescent="0.35">
      <c r="A33" t="s">
        <v>107</v>
      </c>
      <c r="B33" t="s">
        <v>108</v>
      </c>
      <c r="C33" t="s">
        <v>109</v>
      </c>
      <c r="D33" t="s">
        <v>79</v>
      </c>
      <c r="E33" t="s">
        <v>20</v>
      </c>
      <c r="F33" t="s">
        <v>41</v>
      </c>
      <c r="G33" t="s">
        <v>15</v>
      </c>
      <c r="H33">
        <v>6</v>
      </c>
      <c r="I33">
        <v>800</v>
      </c>
      <c r="J33">
        <f t="shared" si="0"/>
        <v>4800</v>
      </c>
    </row>
    <row r="34" spans="1:10" x14ac:dyDescent="0.35">
      <c r="A34" t="s">
        <v>110</v>
      </c>
      <c r="B34" t="s">
        <v>111</v>
      </c>
      <c r="C34" t="s">
        <v>112</v>
      </c>
      <c r="D34" t="s">
        <v>79</v>
      </c>
      <c r="E34" t="s">
        <v>20</v>
      </c>
      <c r="F34" t="s">
        <v>14</v>
      </c>
      <c r="G34" t="s">
        <v>70</v>
      </c>
      <c r="H34">
        <v>3</v>
      </c>
      <c r="I34">
        <v>800</v>
      </c>
      <c r="J34">
        <f t="shared" si="0"/>
        <v>2400</v>
      </c>
    </row>
    <row r="35" spans="1:10" x14ac:dyDescent="0.35">
      <c r="A35" t="s">
        <v>113</v>
      </c>
      <c r="B35" t="s">
        <v>114</v>
      </c>
      <c r="C35" t="s">
        <v>115</v>
      </c>
      <c r="D35" t="s">
        <v>19</v>
      </c>
      <c r="E35" t="s">
        <v>20</v>
      </c>
      <c r="F35" t="s">
        <v>14</v>
      </c>
      <c r="G35" t="s">
        <v>15</v>
      </c>
      <c r="H35">
        <v>3</v>
      </c>
      <c r="I35">
        <v>20</v>
      </c>
      <c r="J35">
        <f t="shared" si="0"/>
        <v>60</v>
      </c>
    </row>
    <row r="36" spans="1:10" x14ac:dyDescent="0.35">
      <c r="A36" t="s">
        <v>116</v>
      </c>
      <c r="B36" t="s">
        <v>117</v>
      </c>
      <c r="C36" t="s">
        <v>75</v>
      </c>
      <c r="D36" t="s">
        <v>12</v>
      </c>
      <c r="E36" t="s">
        <v>13</v>
      </c>
      <c r="F36" t="s">
        <v>14</v>
      </c>
      <c r="G36" t="s">
        <v>70</v>
      </c>
      <c r="H36">
        <v>5</v>
      </c>
      <c r="I36">
        <v>150</v>
      </c>
      <c r="J36">
        <f t="shared" si="0"/>
        <v>750</v>
      </c>
    </row>
    <row r="37" spans="1:10" x14ac:dyDescent="0.35">
      <c r="A37" t="s">
        <v>118</v>
      </c>
      <c r="B37" t="s">
        <v>58</v>
      </c>
      <c r="C37" t="s">
        <v>119</v>
      </c>
      <c r="D37" t="s">
        <v>45</v>
      </c>
      <c r="E37" t="s">
        <v>20</v>
      </c>
      <c r="F37" t="s">
        <v>14</v>
      </c>
      <c r="G37" t="s">
        <v>70</v>
      </c>
      <c r="H37">
        <v>1</v>
      </c>
      <c r="I37">
        <v>35</v>
      </c>
      <c r="J37">
        <f t="shared" si="0"/>
        <v>35</v>
      </c>
    </row>
    <row r="38" spans="1:10" x14ac:dyDescent="0.35">
      <c r="A38" t="s">
        <v>120</v>
      </c>
      <c r="B38" t="s">
        <v>77</v>
      </c>
      <c r="C38" t="s">
        <v>121</v>
      </c>
      <c r="D38" t="s">
        <v>45</v>
      </c>
      <c r="E38" t="s">
        <v>20</v>
      </c>
      <c r="F38" t="s">
        <v>41</v>
      </c>
      <c r="G38" t="s">
        <v>31</v>
      </c>
      <c r="H38">
        <v>6</v>
      </c>
      <c r="I38">
        <v>35</v>
      </c>
      <c r="J38">
        <f t="shared" si="0"/>
        <v>210</v>
      </c>
    </row>
    <row r="39" spans="1:10" x14ac:dyDescent="0.35">
      <c r="A39" t="s">
        <v>122</v>
      </c>
      <c r="B39" t="s">
        <v>123</v>
      </c>
      <c r="C39" t="s">
        <v>59</v>
      </c>
      <c r="D39" t="s">
        <v>12</v>
      </c>
      <c r="E39" t="s">
        <v>13</v>
      </c>
      <c r="F39" t="s">
        <v>30</v>
      </c>
      <c r="G39" t="s">
        <v>22</v>
      </c>
      <c r="H39">
        <v>1</v>
      </c>
      <c r="I39">
        <v>150</v>
      </c>
      <c r="J39">
        <f t="shared" si="0"/>
        <v>150</v>
      </c>
    </row>
    <row r="40" spans="1:10" x14ac:dyDescent="0.35">
      <c r="A40" t="s">
        <v>124</v>
      </c>
      <c r="B40" t="s">
        <v>125</v>
      </c>
      <c r="C40" t="s">
        <v>126</v>
      </c>
      <c r="D40" t="s">
        <v>12</v>
      </c>
      <c r="E40" t="s">
        <v>13</v>
      </c>
      <c r="F40" t="s">
        <v>30</v>
      </c>
      <c r="G40" t="s">
        <v>15</v>
      </c>
      <c r="H40">
        <v>8</v>
      </c>
      <c r="I40">
        <v>150</v>
      </c>
      <c r="J40">
        <f t="shared" si="0"/>
        <v>1200</v>
      </c>
    </row>
    <row r="41" spans="1:10" x14ac:dyDescent="0.35">
      <c r="A41" t="s">
        <v>127</v>
      </c>
      <c r="B41" t="s">
        <v>128</v>
      </c>
      <c r="C41" t="s">
        <v>34</v>
      </c>
      <c r="D41" t="s">
        <v>19</v>
      </c>
      <c r="E41" t="s">
        <v>20</v>
      </c>
      <c r="F41" t="s">
        <v>14</v>
      </c>
      <c r="G41" t="s">
        <v>31</v>
      </c>
      <c r="H41">
        <v>8</v>
      </c>
      <c r="I41">
        <v>20</v>
      </c>
      <c r="J41">
        <f t="shared" si="0"/>
        <v>160</v>
      </c>
    </row>
    <row r="42" spans="1:10" x14ac:dyDescent="0.35">
      <c r="A42" t="s">
        <v>129</v>
      </c>
      <c r="B42" t="s">
        <v>130</v>
      </c>
      <c r="C42" t="s">
        <v>131</v>
      </c>
      <c r="D42" t="s">
        <v>45</v>
      </c>
      <c r="E42" t="s">
        <v>20</v>
      </c>
      <c r="F42" t="s">
        <v>41</v>
      </c>
      <c r="G42" t="s">
        <v>15</v>
      </c>
      <c r="H42">
        <v>2</v>
      </c>
      <c r="I42">
        <v>35</v>
      </c>
      <c r="J42">
        <f t="shared" si="0"/>
        <v>70</v>
      </c>
    </row>
    <row r="43" spans="1:10" x14ac:dyDescent="0.35">
      <c r="A43" t="s">
        <v>132</v>
      </c>
      <c r="B43" t="s">
        <v>53</v>
      </c>
      <c r="C43" t="s">
        <v>18</v>
      </c>
      <c r="D43" t="s">
        <v>45</v>
      </c>
      <c r="E43" t="s">
        <v>20</v>
      </c>
      <c r="F43" t="s">
        <v>30</v>
      </c>
      <c r="G43" t="s">
        <v>15</v>
      </c>
      <c r="H43">
        <v>1</v>
      </c>
      <c r="I43">
        <v>35</v>
      </c>
      <c r="J43">
        <f t="shared" si="0"/>
        <v>35</v>
      </c>
    </row>
    <row r="44" spans="1:10" x14ac:dyDescent="0.35">
      <c r="A44" t="s">
        <v>133</v>
      </c>
      <c r="B44" t="s">
        <v>134</v>
      </c>
      <c r="C44" t="s">
        <v>135</v>
      </c>
      <c r="D44" t="s">
        <v>45</v>
      </c>
      <c r="E44" t="s">
        <v>20</v>
      </c>
      <c r="F44" t="s">
        <v>41</v>
      </c>
      <c r="G44" t="s">
        <v>22</v>
      </c>
      <c r="H44">
        <v>1</v>
      </c>
      <c r="I44">
        <v>35</v>
      </c>
      <c r="J44">
        <f t="shared" si="0"/>
        <v>35</v>
      </c>
    </row>
    <row r="45" spans="1:10" x14ac:dyDescent="0.35">
      <c r="A45" t="s">
        <v>136</v>
      </c>
      <c r="B45" t="s">
        <v>66</v>
      </c>
      <c r="C45" t="s">
        <v>137</v>
      </c>
      <c r="D45" t="s">
        <v>45</v>
      </c>
      <c r="E45" t="s">
        <v>20</v>
      </c>
      <c r="F45" t="s">
        <v>30</v>
      </c>
      <c r="G45" t="s">
        <v>31</v>
      </c>
      <c r="H45">
        <v>3</v>
      </c>
      <c r="I45">
        <v>35</v>
      </c>
      <c r="J45">
        <f t="shared" si="0"/>
        <v>105</v>
      </c>
    </row>
    <row r="46" spans="1:10" x14ac:dyDescent="0.35">
      <c r="A46" t="s">
        <v>138</v>
      </c>
      <c r="B46" t="s">
        <v>139</v>
      </c>
      <c r="C46" t="s">
        <v>29</v>
      </c>
      <c r="D46" t="s">
        <v>79</v>
      </c>
      <c r="E46" t="s">
        <v>20</v>
      </c>
      <c r="F46" t="s">
        <v>30</v>
      </c>
      <c r="G46" t="s">
        <v>46</v>
      </c>
      <c r="H46">
        <v>5</v>
      </c>
      <c r="I46">
        <v>800</v>
      </c>
      <c r="J46">
        <f t="shared" si="0"/>
        <v>4000</v>
      </c>
    </row>
    <row r="47" spans="1:10" x14ac:dyDescent="0.35">
      <c r="A47" t="s">
        <v>140</v>
      </c>
      <c r="B47" t="s">
        <v>141</v>
      </c>
      <c r="C47" t="s">
        <v>142</v>
      </c>
      <c r="D47" t="s">
        <v>12</v>
      </c>
      <c r="E47" t="s">
        <v>13</v>
      </c>
      <c r="F47" t="s">
        <v>14</v>
      </c>
      <c r="G47" t="s">
        <v>46</v>
      </c>
      <c r="H47">
        <v>2</v>
      </c>
      <c r="I47">
        <v>150</v>
      </c>
      <c r="J47">
        <f t="shared" si="0"/>
        <v>300</v>
      </c>
    </row>
    <row r="48" spans="1:10" x14ac:dyDescent="0.35">
      <c r="A48" t="s">
        <v>143</v>
      </c>
      <c r="B48" t="s">
        <v>88</v>
      </c>
      <c r="C48" t="s">
        <v>106</v>
      </c>
      <c r="D48" t="s">
        <v>19</v>
      </c>
      <c r="E48" t="s">
        <v>20</v>
      </c>
      <c r="F48" t="s">
        <v>21</v>
      </c>
      <c r="G48" t="s">
        <v>15</v>
      </c>
      <c r="H48">
        <v>10</v>
      </c>
      <c r="I48">
        <v>20</v>
      </c>
      <c r="J48">
        <f t="shared" si="0"/>
        <v>200</v>
      </c>
    </row>
    <row r="49" spans="1:10" x14ac:dyDescent="0.35">
      <c r="A49" t="s">
        <v>144</v>
      </c>
      <c r="B49" t="s">
        <v>145</v>
      </c>
      <c r="C49" t="s">
        <v>67</v>
      </c>
      <c r="D49" t="s">
        <v>45</v>
      </c>
      <c r="E49" t="s">
        <v>20</v>
      </c>
      <c r="F49" t="s">
        <v>30</v>
      </c>
      <c r="G49" t="s">
        <v>31</v>
      </c>
      <c r="H49">
        <v>8</v>
      </c>
      <c r="I49">
        <v>35</v>
      </c>
      <c r="J49">
        <f t="shared" si="0"/>
        <v>280</v>
      </c>
    </row>
    <row r="50" spans="1:10" x14ac:dyDescent="0.35">
      <c r="A50" t="s">
        <v>146</v>
      </c>
      <c r="B50" t="s">
        <v>147</v>
      </c>
      <c r="C50" t="s">
        <v>148</v>
      </c>
      <c r="D50" t="s">
        <v>12</v>
      </c>
      <c r="E50" t="s">
        <v>13</v>
      </c>
      <c r="F50" t="s">
        <v>30</v>
      </c>
      <c r="G50" t="s">
        <v>22</v>
      </c>
      <c r="H50">
        <v>2</v>
      </c>
      <c r="I50">
        <v>150</v>
      </c>
      <c r="J50">
        <f t="shared" si="0"/>
        <v>300</v>
      </c>
    </row>
    <row r="51" spans="1:10" x14ac:dyDescent="0.35">
      <c r="A51" t="s">
        <v>149</v>
      </c>
      <c r="B51" t="s">
        <v>150</v>
      </c>
      <c r="C51" t="s">
        <v>131</v>
      </c>
      <c r="D51" t="s">
        <v>63</v>
      </c>
      <c r="E51" t="s">
        <v>64</v>
      </c>
      <c r="F51" t="s">
        <v>41</v>
      </c>
      <c r="G51" t="s">
        <v>15</v>
      </c>
      <c r="H51">
        <v>6</v>
      </c>
      <c r="I51">
        <v>120</v>
      </c>
      <c r="J51">
        <f t="shared" si="0"/>
        <v>720</v>
      </c>
    </row>
    <row r="52" spans="1:10" x14ac:dyDescent="0.35">
      <c r="A52" t="s">
        <v>151</v>
      </c>
      <c r="B52" t="s">
        <v>152</v>
      </c>
      <c r="C52" t="s">
        <v>37</v>
      </c>
      <c r="D52" t="s">
        <v>26</v>
      </c>
      <c r="E52" t="s">
        <v>20</v>
      </c>
      <c r="F52" t="s">
        <v>30</v>
      </c>
      <c r="G52" t="s">
        <v>31</v>
      </c>
      <c r="H52">
        <v>6</v>
      </c>
      <c r="I52">
        <v>200</v>
      </c>
      <c r="J52">
        <f t="shared" si="0"/>
        <v>1200</v>
      </c>
    </row>
    <row r="53" spans="1:10" x14ac:dyDescent="0.35">
      <c r="A53" t="s">
        <v>153</v>
      </c>
      <c r="B53" t="s">
        <v>154</v>
      </c>
      <c r="C53" t="s">
        <v>155</v>
      </c>
      <c r="D53" t="s">
        <v>26</v>
      </c>
      <c r="E53" t="s">
        <v>20</v>
      </c>
      <c r="F53" t="s">
        <v>14</v>
      </c>
      <c r="G53" t="s">
        <v>15</v>
      </c>
      <c r="H53">
        <v>4</v>
      </c>
      <c r="I53">
        <v>200</v>
      </c>
      <c r="J53">
        <f t="shared" si="0"/>
        <v>800</v>
      </c>
    </row>
    <row r="54" spans="1:10" x14ac:dyDescent="0.35">
      <c r="A54" t="s">
        <v>156</v>
      </c>
      <c r="B54" t="s">
        <v>48</v>
      </c>
      <c r="C54" t="s">
        <v>121</v>
      </c>
      <c r="D54" t="s">
        <v>26</v>
      </c>
      <c r="E54" t="s">
        <v>20</v>
      </c>
      <c r="F54" t="s">
        <v>14</v>
      </c>
      <c r="G54" t="s">
        <v>22</v>
      </c>
      <c r="H54">
        <v>4</v>
      </c>
      <c r="I54">
        <v>200</v>
      </c>
      <c r="J54">
        <f t="shared" si="0"/>
        <v>800</v>
      </c>
    </row>
    <row r="55" spans="1:10" x14ac:dyDescent="0.35">
      <c r="A55" t="s">
        <v>157</v>
      </c>
      <c r="B55" t="s">
        <v>145</v>
      </c>
      <c r="C55" t="s">
        <v>158</v>
      </c>
      <c r="D55" t="s">
        <v>45</v>
      </c>
      <c r="E55" t="s">
        <v>20</v>
      </c>
      <c r="F55" t="s">
        <v>21</v>
      </c>
      <c r="G55" t="s">
        <v>31</v>
      </c>
      <c r="H55">
        <v>5</v>
      </c>
      <c r="I55">
        <v>35</v>
      </c>
      <c r="J55">
        <f t="shared" si="0"/>
        <v>175</v>
      </c>
    </row>
    <row r="56" spans="1:10" x14ac:dyDescent="0.35">
      <c r="A56" t="s">
        <v>159</v>
      </c>
      <c r="B56" t="s">
        <v>160</v>
      </c>
      <c r="C56" t="s">
        <v>161</v>
      </c>
      <c r="D56" t="s">
        <v>45</v>
      </c>
      <c r="E56" t="s">
        <v>20</v>
      </c>
      <c r="F56" t="s">
        <v>30</v>
      </c>
      <c r="G56" t="s">
        <v>22</v>
      </c>
      <c r="H56">
        <v>2</v>
      </c>
      <c r="I56">
        <v>35</v>
      </c>
      <c r="J56">
        <f t="shared" si="0"/>
        <v>70</v>
      </c>
    </row>
    <row r="57" spans="1:10" x14ac:dyDescent="0.35">
      <c r="A57" t="s">
        <v>162</v>
      </c>
      <c r="B57" t="s">
        <v>163</v>
      </c>
      <c r="C57" t="s">
        <v>164</v>
      </c>
      <c r="D57" t="s">
        <v>26</v>
      </c>
      <c r="E57" t="s">
        <v>20</v>
      </c>
      <c r="F57" t="s">
        <v>21</v>
      </c>
      <c r="G57" t="s">
        <v>22</v>
      </c>
      <c r="H57">
        <v>1</v>
      </c>
      <c r="I57">
        <v>200</v>
      </c>
      <c r="J57">
        <f t="shared" si="0"/>
        <v>200</v>
      </c>
    </row>
    <row r="58" spans="1:10" x14ac:dyDescent="0.35">
      <c r="A58" t="s">
        <v>165</v>
      </c>
      <c r="B58" t="s">
        <v>36</v>
      </c>
      <c r="C58" t="s">
        <v>67</v>
      </c>
      <c r="D58" t="s">
        <v>26</v>
      </c>
      <c r="E58" t="s">
        <v>20</v>
      </c>
      <c r="F58" t="s">
        <v>21</v>
      </c>
      <c r="G58" t="s">
        <v>46</v>
      </c>
      <c r="H58">
        <v>7</v>
      </c>
      <c r="I58">
        <v>200</v>
      </c>
      <c r="J58">
        <f t="shared" si="0"/>
        <v>1400</v>
      </c>
    </row>
    <row r="59" spans="1:10" x14ac:dyDescent="0.35">
      <c r="A59" t="s">
        <v>166</v>
      </c>
      <c r="B59" t="s">
        <v>167</v>
      </c>
      <c r="C59" t="s">
        <v>109</v>
      </c>
      <c r="D59" t="s">
        <v>26</v>
      </c>
      <c r="E59" t="s">
        <v>20</v>
      </c>
      <c r="F59" t="s">
        <v>14</v>
      </c>
      <c r="G59" t="s">
        <v>31</v>
      </c>
      <c r="H59">
        <v>3</v>
      </c>
      <c r="I59">
        <v>200</v>
      </c>
      <c r="J59">
        <f t="shared" si="0"/>
        <v>600</v>
      </c>
    </row>
    <row r="60" spans="1:10" x14ac:dyDescent="0.35">
      <c r="A60" t="s">
        <v>168</v>
      </c>
      <c r="B60" t="s">
        <v>169</v>
      </c>
      <c r="C60" t="s">
        <v>119</v>
      </c>
      <c r="D60" t="s">
        <v>63</v>
      </c>
      <c r="E60" t="s">
        <v>64</v>
      </c>
      <c r="F60" t="s">
        <v>21</v>
      </c>
      <c r="G60" t="s">
        <v>46</v>
      </c>
      <c r="H60">
        <v>1</v>
      </c>
      <c r="I60">
        <v>120</v>
      </c>
      <c r="J60">
        <f t="shared" si="0"/>
        <v>120</v>
      </c>
    </row>
    <row r="61" spans="1:10" x14ac:dyDescent="0.35">
      <c r="A61" t="s">
        <v>170</v>
      </c>
      <c r="B61" t="s">
        <v>171</v>
      </c>
      <c r="C61" t="s">
        <v>106</v>
      </c>
      <c r="D61" t="s">
        <v>45</v>
      </c>
      <c r="E61" t="s">
        <v>20</v>
      </c>
      <c r="F61" t="s">
        <v>14</v>
      </c>
      <c r="G61" t="s">
        <v>70</v>
      </c>
      <c r="H61">
        <v>3</v>
      </c>
      <c r="I61">
        <v>35</v>
      </c>
      <c r="J61">
        <f t="shared" si="0"/>
        <v>105</v>
      </c>
    </row>
    <row r="62" spans="1:10" x14ac:dyDescent="0.35">
      <c r="A62" t="s">
        <v>172</v>
      </c>
      <c r="B62" t="s">
        <v>173</v>
      </c>
      <c r="C62" t="s">
        <v>135</v>
      </c>
      <c r="D62" t="s">
        <v>12</v>
      </c>
      <c r="E62" t="s">
        <v>13</v>
      </c>
      <c r="F62" t="s">
        <v>21</v>
      </c>
      <c r="G62" t="s">
        <v>46</v>
      </c>
      <c r="H62">
        <v>9</v>
      </c>
      <c r="I62">
        <v>150</v>
      </c>
      <c r="J62">
        <f t="shared" si="0"/>
        <v>1350</v>
      </c>
    </row>
    <row r="63" spans="1:10" x14ac:dyDescent="0.35">
      <c r="A63" t="s">
        <v>174</v>
      </c>
      <c r="B63" t="s">
        <v>86</v>
      </c>
      <c r="C63" t="s">
        <v>175</v>
      </c>
      <c r="D63" t="s">
        <v>45</v>
      </c>
      <c r="E63" t="s">
        <v>20</v>
      </c>
      <c r="F63" t="s">
        <v>21</v>
      </c>
      <c r="G63" t="s">
        <v>70</v>
      </c>
      <c r="H63">
        <v>8</v>
      </c>
      <c r="I63">
        <v>35</v>
      </c>
      <c r="J63">
        <f t="shared" si="0"/>
        <v>280</v>
      </c>
    </row>
    <row r="64" spans="1:10" x14ac:dyDescent="0.35">
      <c r="A64" t="s">
        <v>176</v>
      </c>
      <c r="B64" t="s">
        <v>177</v>
      </c>
      <c r="C64" t="s">
        <v>178</v>
      </c>
      <c r="D64" t="s">
        <v>12</v>
      </c>
      <c r="E64" t="s">
        <v>13</v>
      </c>
      <c r="F64" t="s">
        <v>14</v>
      </c>
      <c r="G64" t="s">
        <v>70</v>
      </c>
      <c r="H64">
        <v>8</v>
      </c>
      <c r="I64">
        <v>150</v>
      </c>
      <c r="J64">
        <f t="shared" si="0"/>
        <v>1200</v>
      </c>
    </row>
    <row r="65" spans="1:10" x14ac:dyDescent="0.35">
      <c r="A65" t="s">
        <v>179</v>
      </c>
      <c r="B65" t="s">
        <v>180</v>
      </c>
      <c r="C65" t="s">
        <v>181</v>
      </c>
      <c r="D65" t="s">
        <v>19</v>
      </c>
      <c r="E65" t="s">
        <v>20</v>
      </c>
      <c r="F65" t="s">
        <v>21</v>
      </c>
      <c r="G65" t="s">
        <v>22</v>
      </c>
      <c r="H65">
        <v>2</v>
      </c>
      <c r="I65">
        <v>20</v>
      </c>
      <c r="J65">
        <f t="shared" si="0"/>
        <v>40</v>
      </c>
    </row>
    <row r="66" spans="1:10" x14ac:dyDescent="0.35">
      <c r="A66" t="s">
        <v>182</v>
      </c>
      <c r="B66" t="s">
        <v>77</v>
      </c>
      <c r="C66" t="s">
        <v>183</v>
      </c>
      <c r="D66" t="s">
        <v>19</v>
      </c>
      <c r="E66" t="s">
        <v>20</v>
      </c>
      <c r="F66" t="s">
        <v>30</v>
      </c>
      <c r="G66" t="s">
        <v>46</v>
      </c>
      <c r="H66">
        <v>3</v>
      </c>
      <c r="I66">
        <v>20</v>
      </c>
      <c r="J66">
        <f t="shared" si="0"/>
        <v>60</v>
      </c>
    </row>
    <row r="67" spans="1:10" x14ac:dyDescent="0.35">
      <c r="A67" t="s">
        <v>184</v>
      </c>
      <c r="B67" t="s">
        <v>180</v>
      </c>
      <c r="C67" t="s">
        <v>75</v>
      </c>
      <c r="D67" t="s">
        <v>79</v>
      </c>
      <c r="E67" t="s">
        <v>20</v>
      </c>
      <c r="F67" t="s">
        <v>14</v>
      </c>
      <c r="G67" t="s">
        <v>15</v>
      </c>
      <c r="H67">
        <v>10</v>
      </c>
      <c r="I67">
        <v>800</v>
      </c>
      <c r="J67">
        <f t="shared" ref="J67:J101" si="1">H67*I67</f>
        <v>8000</v>
      </c>
    </row>
    <row r="68" spans="1:10" x14ac:dyDescent="0.35">
      <c r="A68" t="s">
        <v>185</v>
      </c>
      <c r="B68" t="s">
        <v>123</v>
      </c>
      <c r="C68" t="s">
        <v>100</v>
      </c>
      <c r="D68" t="s">
        <v>79</v>
      </c>
      <c r="E68" t="s">
        <v>20</v>
      </c>
      <c r="F68" t="s">
        <v>41</v>
      </c>
      <c r="G68" t="s">
        <v>70</v>
      </c>
      <c r="H68">
        <v>3</v>
      </c>
      <c r="I68">
        <v>800</v>
      </c>
      <c r="J68">
        <f t="shared" si="1"/>
        <v>2400</v>
      </c>
    </row>
    <row r="69" spans="1:10" x14ac:dyDescent="0.35">
      <c r="A69" t="s">
        <v>186</v>
      </c>
      <c r="B69" t="s">
        <v>187</v>
      </c>
      <c r="C69" t="s">
        <v>18</v>
      </c>
      <c r="D69" t="s">
        <v>26</v>
      </c>
      <c r="E69" t="s">
        <v>20</v>
      </c>
      <c r="F69" t="s">
        <v>41</v>
      </c>
      <c r="G69" t="s">
        <v>15</v>
      </c>
      <c r="H69">
        <v>3</v>
      </c>
      <c r="I69">
        <v>200</v>
      </c>
      <c r="J69">
        <f t="shared" si="1"/>
        <v>600</v>
      </c>
    </row>
    <row r="70" spans="1:10" x14ac:dyDescent="0.35">
      <c r="A70" t="s">
        <v>188</v>
      </c>
      <c r="B70" t="s">
        <v>167</v>
      </c>
      <c r="C70" t="s">
        <v>29</v>
      </c>
      <c r="D70" t="s">
        <v>19</v>
      </c>
      <c r="E70" t="s">
        <v>20</v>
      </c>
      <c r="F70" t="s">
        <v>21</v>
      </c>
      <c r="G70" t="s">
        <v>70</v>
      </c>
      <c r="H70">
        <v>4</v>
      </c>
      <c r="I70">
        <v>20</v>
      </c>
      <c r="J70">
        <f t="shared" si="1"/>
        <v>80</v>
      </c>
    </row>
    <row r="71" spans="1:10" x14ac:dyDescent="0.35">
      <c r="A71" t="s">
        <v>189</v>
      </c>
      <c r="B71" t="s">
        <v>145</v>
      </c>
      <c r="C71" t="s">
        <v>190</v>
      </c>
      <c r="D71" t="s">
        <v>79</v>
      </c>
      <c r="E71" t="s">
        <v>20</v>
      </c>
      <c r="F71" t="s">
        <v>30</v>
      </c>
      <c r="G71" t="s">
        <v>31</v>
      </c>
      <c r="H71">
        <v>8</v>
      </c>
      <c r="I71">
        <v>800</v>
      </c>
      <c r="J71">
        <f t="shared" si="1"/>
        <v>6400</v>
      </c>
    </row>
    <row r="72" spans="1:10" x14ac:dyDescent="0.35">
      <c r="A72" t="s">
        <v>191</v>
      </c>
      <c r="B72" t="s">
        <v>74</v>
      </c>
      <c r="C72" t="s">
        <v>37</v>
      </c>
      <c r="D72" t="s">
        <v>79</v>
      </c>
      <c r="E72" t="s">
        <v>20</v>
      </c>
      <c r="F72" t="s">
        <v>14</v>
      </c>
      <c r="G72" t="s">
        <v>70</v>
      </c>
      <c r="H72">
        <v>5</v>
      </c>
      <c r="I72">
        <v>800</v>
      </c>
      <c r="J72">
        <f t="shared" si="1"/>
        <v>4000</v>
      </c>
    </row>
    <row r="73" spans="1:10" x14ac:dyDescent="0.35">
      <c r="A73" t="s">
        <v>192</v>
      </c>
      <c r="B73" t="s">
        <v>17</v>
      </c>
      <c r="C73" t="s">
        <v>29</v>
      </c>
      <c r="D73" t="s">
        <v>45</v>
      </c>
      <c r="E73" t="s">
        <v>20</v>
      </c>
      <c r="F73" t="s">
        <v>30</v>
      </c>
      <c r="G73" t="s">
        <v>31</v>
      </c>
      <c r="H73">
        <v>8</v>
      </c>
      <c r="I73">
        <v>35</v>
      </c>
      <c r="J73">
        <f t="shared" si="1"/>
        <v>280</v>
      </c>
    </row>
    <row r="74" spans="1:10" x14ac:dyDescent="0.35">
      <c r="A74" t="s">
        <v>193</v>
      </c>
      <c r="B74" t="s">
        <v>194</v>
      </c>
      <c r="C74" t="s">
        <v>37</v>
      </c>
      <c r="D74" t="s">
        <v>79</v>
      </c>
      <c r="E74" t="s">
        <v>20</v>
      </c>
      <c r="F74" t="s">
        <v>14</v>
      </c>
      <c r="G74" t="s">
        <v>15</v>
      </c>
      <c r="H74">
        <v>2</v>
      </c>
      <c r="I74">
        <v>800</v>
      </c>
      <c r="J74">
        <f t="shared" si="1"/>
        <v>1600</v>
      </c>
    </row>
    <row r="75" spans="1:10" x14ac:dyDescent="0.35">
      <c r="A75" t="s">
        <v>195</v>
      </c>
      <c r="B75" t="s">
        <v>196</v>
      </c>
      <c r="C75" t="s">
        <v>158</v>
      </c>
      <c r="D75" t="s">
        <v>12</v>
      </c>
      <c r="E75" t="s">
        <v>13</v>
      </c>
      <c r="F75" t="s">
        <v>14</v>
      </c>
      <c r="G75" t="s">
        <v>31</v>
      </c>
      <c r="H75">
        <v>8</v>
      </c>
      <c r="I75">
        <v>150</v>
      </c>
      <c r="J75">
        <f t="shared" si="1"/>
        <v>1200</v>
      </c>
    </row>
    <row r="76" spans="1:10" x14ac:dyDescent="0.35">
      <c r="A76" t="s">
        <v>197</v>
      </c>
      <c r="B76" t="s">
        <v>198</v>
      </c>
      <c r="C76" t="s">
        <v>158</v>
      </c>
      <c r="D76" t="s">
        <v>63</v>
      </c>
      <c r="E76" t="s">
        <v>64</v>
      </c>
      <c r="F76" t="s">
        <v>14</v>
      </c>
      <c r="G76" t="s">
        <v>22</v>
      </c>
      <c r="H76">
        <v>7</v>
      </c>
      <c r="I76">
        <v>120</v>
      </c>
      <c r="J76">
        <f t="shared" si="1"/>
        <v>840</v>
      </c>
    </row>
    <row r="77" spans="1:10" x14ac:dyDescent="0.35">
      <c r="A77" t="s">
        <v>199</v>
      </c>
      <c r="B77" t="s">
        <v>91</v>
      </c>
      <c r="C77" t="s">
        <v>51</v>
      </c>
      <c r="D77" t="s">
        <v>63</v>
      </c>
      <c r="E77" t="s">
        <v>64</v>
      </c>
      <c r="F77" t="s">
        <v>14</v>
      </c>
      <c r="G77" t="s">
        <v>46</v>
      </c>
      <c r="H77">
        <v>7</v>
      </c>
      <c r="I77">
        <v>120</v>
      </c>
      <c r="J77">
        <f t="shared" si="1"/>
        <v>840</v>
      </c>
    </row>
    <row r="78" spans="1:10" x14ac:dyDescent="0.35">
      <c r="A78" t="s">
        <v>200</v>
      </c>
      <c r="B78" t="s">
        <v>201</v>
      </c>
      <c r="C78" t="s">
        <v>135</v>
      </c>
      <c r="D78" t="s">
        <v>45</v>
      </c>
      <c r="E78" t="s">
        <v>20</v>
      </c>
      <c r="F78" t="s">
        <v>30</v>
      </c>
      <c r="G78" t="s">
        <v>22</v>
      </c>
      <c r="H78">
        <v>9</v>
      </c>
      <c r="I78">
        <v>35</v>
      </c>
      <c r="J78">
        <f t="shared" si="1"/>
        <v>315</v>
      </c>
    </row>
    <row r="79" spans="1:10" x14ac:dyDescent="0.35">
      <c r="A79" t="s">
        <v>202</v>
      </c>
      <c r="B79" t="s">
        <v>114</v>
      </c>
      <c r="C79" t="s">
        <v>203</v>
      </c>
      <c r="D79" t="s">
        <v>12</v>
      </c>
      <c r="E79" t="s">
        <v>13</v>
      </c>
      <c r="F79" t="s">
        <v>30</v>
      </c>
      <c r="G79" t="s">
        <v>46</v>
      </c>
      <c r="H79">
        <v>10</v>
      </c>
      <c r="I79">
        <v>150</v>
      </c>
      <c r="J79">
        <f t="shared" si="1"/>
        <v>1500</v>
      </c>
    </row>
    <row r="80" spans="1:10" x14ac:dyDescent="0.35">
      <c r="A80" t="s">
        <v>204</v>
      </c>
      <c r="B80" t="s">
        <v>205</v>
      </c>
      <c r="C80" t="s">
        <v>18</v>
      </c>
      <c r="D80" t="s">
        <v>79</v>
      </c>
      <c r="E80" t="s">
        <v>20</v>
      </c>
      <c r="F80" t="s">
        <v>14</v>
      </c>
      <c r="G80" t="s">
        <v>15</v>
      </c>
      <c r="H80">
        <v>9</v>
      </c>
      <c r="I80">
        <v>800</v>
      </c>
      <c r="J80">
        <f t="shared" si="1"/>
        <v>7200</v>
      </c>
    </row>
    <row r="81" spans="1:10" x14ac:dyDescent="0.35">
      <c r="A81" t="s">
        <v>206</v>
      </c>
      <c r="B81" t="s">
        <v>130</v>
      </c>
      <c r="C81" t="s">
        <v>106</v>
      </c>
      <c r="D81" t="s">
        <v>26</v>
      </c>
      <c r="E81" t="s">
        <v>20</v>
      </c>
      <c r="F81" t="s">
        <v>14</v>
      </c>
      <c r="G81" t="s">
        <v>31</v>
      </c>
      <c r="H81">
        <v>3</v>
      </c>
      <c r="I81">
        <v>200</v>
      </c>
      <c r="J81">
        <f t="shared" si="1"/>
        <v>600</v>
      </c>
    </row>
    <row r="82" spans="1:10" x14ac:dyDescent="0.35">
      <c r="A82" t="s">
        <v>207</v>
      </c>
      <c r="B82" t="s">
        <v>152</v>
      </c>
      <c r="C82" t="s">
        <v>208</v>
      </c>
      <c r="D82" t="s">
        <v>12</v>
      </c>
      <c r="E82" t="s">
        <v>13</v>
      </c>
      <c r="F82" t="s">
        <v>41</v>
      </c>
      <c r="G82" t="s">
        <v>22</v>
      </c>
      <c r="H82">
        <v>6</v>
      </c>
      <c r="I82">
        <v>150</v>
      </c>
      <c r="J82">
        <f t="shared" si="1"/>
        <v>900</v>
      </c>
    </row>
    <row r="83" spans="1:10" x14ac:dyDescent="0.35">
      <c r="A83" t="s">
        <v>209</v>
      </c>
      <c r="B83" t="s">
        <v>169</v>
      </c>
      <c r="C83" t="s">
        <v>11</v>
      </c>
      <c r="D83" t="s">
        <v>19</v>
      </c>
      <c r="E83" t="s">
        <v>20</v>
      </c>
      <c r="F83" t="s">
        <v>30</v>
      </c>
      <c r="G83" t="s">
        <v>22</v>
      </c>
      <c r="H83">
        <v>1</v>
      </c>
      <c r="I83">
        <v>20</v>
      </c>
      <c r="J83">
        <f t="shared" si="1"/>
        <v>20</v>
      </c>
    </row>
    <row r="84" spans="1:10" x14ac:dyDescent="0.35">
      <c r="A84" t="s">
        <v>210</v>
      </c>
      <c r="B84" t="s">
        <v>211</v>
      </c>
      <c r="C84" t="s">
        <v>208</v>
      </c>
      <c r="D84" t="s">
        <v>19</v>
      </c>
      <c r="E84" t="s">
        <v>20</v>
      </c>
      <c r="F84" t="s">
        <v>30</v>
      </c>
      <c r="G84" t="s">
        <v>70</v>
      </c>
      <c r="H84">
        <v>1</v>
      </c>
      <c r="I84">
        <v>20</v>
      </c>
      <c r="J84">
        <f t="shared" si="1"/>
        <v>20</v>
      </c>
    </row>
    <row r="85" spans="1:10" x14ac:dyDescent="0.35">
      <c r="A85" t="s">
        <v>212</v>
      </c>
      <c r="B85" t="s">
        <v>108</v>
      </c>
      <c r="C85" t="s">
        <v>190</v>
      </c>
      <c r="D85" t="s">
        <v>19</v>
      </c>
      <c r="E85" t="s">
        <v>20</v>
      </c>
      <c r="F85" t="s">
        <v>14</v>
      </c>
      <c r="G85" t="s">
        <v>31</v>
      </c>
      <c r="H85">
        <v>10</v>
      </c>
      <c r="I85">
        <v>20</v>
      </c>
      <c r="J85">
        <f t="shared" si="1"/>
        <v>200</v>
      </c>
    </row>
    <row r="86" spans="1:10" x14ac:dyDescent="0.35">
      <c r="A86" t="s">
        <v>213</v>
      </c>
      <c r="B86" t="s">
        <v>66</v>
      </c>
      <c r="C86" t="s">
        <v>148</v>
      </c>
      <c r="D86" t="s">
        <v>45</v>
      </c>
      <c r="E86" t="s">
        <v>20</v>
      </c>
      <c r="F86" t="s">
        <v>41</v>
      </c>
      <c r="G86" t="s">
        <v>70</v>
      </c>
      <c r="H86">
        <v>5</v>
      </c>
      <c r="I86">
        <v>35</v>
      </c>
      <c r="J86">
        <f t="shared" si="1"/>
        <v>175</v>
      </c>
    </row>
    <row r="87" spans="1:10" x14ac:dyDescent="0.35">
      <c r="A87" t="s">
        <v>214</v>
      </c>
      <c r="B87" t="s">
        <v>72</v>
      </c>
      <c r="C87" t="s">
        <v>40</v>
      </c>
      <c r="D87" t="s">
        <v>79</v>
      </c>
      <c r="E87" t="s">
        <v>20</v>
      </c>
      <c r="F87" t="s">
        <v>14</v>
      </c>
      <c r="G87" t="s">
        <v>70</v>
      </c>
      <c r="H87">
        <v>8</v>
      </c>
      <c r="I87">
        <v>800</v>
      </c>
      <c r="J87">
        <f t="shared" si="1"/>
        <v>6400</v>
      </c>
    </row>
    <row r="88" spans="1:10" x14ac:dyDescent="0.35">
      <c r="A88" t="s">
        <v>215</v>
      </c>
      <c r="B88" t="s">
        <v>216</v>
      </c>
      <c r="C88" t="s">
        <v>181</v>
      </c>
      <c r="D88" t="s">
        <v>19</v>
      </c>
      <c r="E88" t="s">
        <v>20</v>
      </c>
      <c r="F88" t="s">
        <v>21</v>
      </c>
      <c r="G88" t="s">
        <v>15</v>
      </c>
      <c r="H88">
        <v>7</v>
      </c>
      <c r="I88">
        <v>20</v>
      </c>
      <c r="J88">
        <f t="shared" si="1"/>
        <v>140</v>
      </c>
    </row>
    <row r="89" spans="1:10" x14ac:dyDescent="0.35">
      <c r="A89" t="s">
        <v>217</v>
      </c>
      <c r="B89" t="s">
        <v>128</v>
      </c>
      <c r="C89" t="s">
        <v>218</v>
      </c>
      <c r="D89" t="s">
        <v>19</v>
      </c>
      <c r="E89" t="s">
        <v>20</v>
      </c>
      <c r="F89" t="s">
        <v>14</v>
      </c>
      <c r="G89" t="s">
        <v>22</v>
      </c>
      <c r="H89">
        <v>2</v>
      </c>
      <c r="I89">
        <v>20</v>
      </c>
      <c r="J89">
        <f t="shared" si="1"/>
        <v>40</v>
      </c>
    </row>
    <row r="90" spans="1:10" x14ac:dyDescent="0.35">
      <c r="A90" t="s">
        <v>219</v>
      </c>
      <c r="B90" t="s">
        <v>220</v>
      </c>
      <c r="C90" t="s">
        <v>121</v>
      </c>
      <c r="D90" t="s">
        <v>45</v>
      </c>
      <c r="E90" t="s">
        <v>20</v>
      </c>
      <c r="F90" t="s">
        <v>41</v>
      </c>
      <c r="G90" t="s">
        <v>46</v>
      </c>
      <c r="H90">
        <v>8</v>
      </c>
      <c r="I90">
        <v>35</v>
      </c>
      <c r="J90">
        <f t="shared" si="1"/>
        <v>280</v>
      </c>
    </row>
    <row r="91" spans="1:10" x14ac:dyDescent="0.35">
      <c r="A91" t="s">
        <v>221</v>
      </c>
      <c r="B91" t="s">
        <v>222</v>
      </c>
      <c r="C91" t="s">
        <v>178</v>
      </c>
      <c r="D91" t="s">
        <v>63</v>
      </c>
      <c r="E91" t="s">
        <v>64</v>
      </c>
      <c r="F91" t="s">
        <v>41</v>
      </c>
      <c r="G91" t="s">
        <v>70</v>
      </c>
      <c r="H91">
        <v>5</v>
      </c>
      <c r="I91">
        <v>120</v>
      </c>
      <c r="J91">
        <f t="shared" si="1"/>
        <v>600</v>
      </c>
    </row>
    <row r="92" spans="1:10" x14ac:dyDescent="0.35">
      <c r="A92" t="s">
        <v>223</v>
      </c>
      <c r="B92" t="s">
        <v>224</v>
      </c>
      <c r="C92" t="s">
        <v>78</v>
      </c>
      <c r="D92" t="s">
        <v>12</v>
      </c>
      <c r="E92" t="s">
        <v>13</v>
      </c>
      <c r="F92" t="s">
        <v>41</v>
      </c>
      <c r="G92" t="s">
        <v>31</v>
      </c>
      <c r="H92">
        <v>6</v>
      </c>
      <c r="I92">
        <v>150</v>
      </c>
      <c r="J92">
        <f t="shared" si="1"/>
        <v>900</v>
      </c>
    </row>
    <row r="93" spans="1:10" x14ac:dyDescent="0.35">
      <c r="A93" t="s">
        <v>225</v>
      </c>
      <c r="B93" t="s">
        <v>226</v>
      </c>
      <c r="C93" t="s">
        <v>94</v>
      </c>
      <c r="D93" t="s">
        <v>45</v>
      </c>
      <c r="E93" t="s">
        <v>20</v>
      </c>
      <c r="F93" t="s">
        <v>14</v>
      </c>
      <c r="G93" t="s">
        <v>31</v>
      </c>
      <c r="H93">
        <v>4</v>
      </c>
      <c r="I93">
        <v>35</v>
      </c>
      <c r="J93">
        <f t="shared" si="1"/>
        <v>140</v>
      </c>
    </row>
    <row r="94" spans="1:10" x14ac:dyDescent="0.35">
      <c r="A94" t="s">
        <v>227</v>
      </c>
      <c r="B94" t="s">
        <v>134</v>
      </c>
      <c r="C94" t="s">
        <v>82</v>
      </c>
      <c r="D94" t="s">
        <v>63</v>
      </c>
      <c r="E94" t="s">
        <v>64</v>
      </c>
      <c r="F94" t="s">
        <v>41</v>
      </c>
      <c r="G94" t="s">
        <v>15</v>
      </c>
      <c r="H94">
        <v>6</v>
      </c>
      <c r="I94">
        <v>120</v>
      </c>
      <c r="J94">
        <f t="shared" si="1"/>
        <v>720</v>
      </c>
    </row>
    <row r="95" spans="1:10" x14ac:dyDescent="0.35">
      <c r="A95" t="s">
        <v>228</v>
      </c>
      <c r="B95" t="s">
        <v>229</v>
      </c>
      <c r="C95" t="s">
        <v>82</v>
      </c>
      <c r="D95" t="s">
        <v>12</v>
      </c>
      <c r="E95" t="s">
        <v>13</v>
      </c>
      <c r="F95" t="s">
        <v>21</v>
      </c>
      <c r="G95" t="s">
        <v>15</v>
      </c>
      <c r="H95">
        <v>5</v>
      </c>
      <c r="I95">
        <v>150</v>
      </c>
      <c r="J95">
        <f t="shared" si="1"/>
        <v>750</v>
      </c>
    </row>
    <row r="96" spans="1:10" x14ac:dyDescent="0.35">
      <c r="A96" t="s">
        <v>230</v>
      </c>
      <c r="B96" t="s">
        <v>196</v>
      </c>
      <c r="C96" t="s">
        <v>40</v>
      </c>
      <c r="D96" t="s">
        <v>26</v>
      </c>
      <c r="E96" t="s">
        <v>20</v>
      </c>
      <c r="F96" t="s">
        <v>30</v>
      </c>
      <c r="G96" t="s">
        <v>46</v>
      </c>
      <c r="H96">
        <v>3</v>
      </c>
      <c r="I96">
        <v>200</v>
      </c>
      <c r="J96">
        <f t="shared" si="1"/>
        <v>600</v>
      </c>
    </row>
    <row r="97" spans="1:10" x14ac:dyDescent="0.35">
      <c r="A97" t="s">
        <v>231</v>
      </c>
      <c r="B97" t="s">
        <v>232</v>
      </c>
      <c r="C97" t="s">
        <v>62</v>
      </c>
      <c r="D97" t="s">
        <v>19</v>
      </c>
      <c r="E97" t="s">
        <v>20</v>
      </c>
      <c r="F97" t="s">
        <v>21</v>
      </c>
      <c r="G97" t="s">
        <v>22</v>
      </c>
      <c r="H97">
        <v>2</v>
      </c>
      <c r="I97">
        <v>20</v>
      </c>
      <c r="J97">
        <f t="shared" si="1"/>
        <v>40</v>
      </c>
    </row>
    <row r="98" spans="1:10" x14ac:dyDescent="0.35">
      <c r="A98" t="s">
        <v>233</v>
      </c>
      <c r="B98" t="s">
        <v>160</v>
      </c>
      <c r="C98" t="s">
        <v>59</v>
      </c>
      <c r="D98" t="s">
        <v>19</v>
      </c>
      <c r="E98" t="s">
        <v>20</v>
      </c>
      <c r="F98" t="s">
        <v>14</v>
      </c>
      <c r="G98" t="s">
        <v>22</v>
      </c>
      <c r="H98">
        <v>8</v>
      </c>
      <c r="I98">
        <v>20</v>
      </c>
      <c r="J98">
        <f t="shared" si="1"/>
        <v>160</v>
      </c>
    </row>
    <row r="99" spans="1:10" x14ac:dyDescent="0.35">
      <c r="A99" t="s">
        <v>234</v>
      </c>
      <c r="B99" t="s">
        <v>235</v>
      </c>
      <c r="C99" t="s">
        <v>119</v>
      </c>
      <c r="D99" t="s">
        <v>26</v>
      </c>
      <c r="E99" t="s">
        <v>20</v>
      </c>
      <c r="F99" t="s">
        <v>14</v>
      </c>
      <c r="G99" t="s">
        <v>22</v>
      </c>
      <c r="H99">
        <v>10</v>
      </c>
      <c r="I99">
        <v>200</v>
      </c>
      <c r="J99">
        <f t="shared" si="1"/>
        <v>2000</v>
      </c>
    </row>
    <row r="100" spans="1:10" x14ac:dyDescent="0.35">
      <c r="A100" t="s">
        <v>236</v>
      </c>
      <c r="B100" t="s">
        <v>36</v>
      </c>
      <c r="C100" t="s">
        <v>135</v>
      </c>
      <c r="D100" t="s">
        <v>79</v>
      </c>
      <c r="E100" t="s">
        <v>20</v>
      </c>
      <c r="F100" t="s">
        <v>14</v>
      </c>
      <c r="G100" t="s">
        <v>70</v>
      </c>
      <c r="H100">
        <v>5</v>
      </c>
      <c r="I100">
        <v>800</v>
      </c>
      <c r="J100">
        <f t="shared" si="1"/>
        <v>4000</v>
      </c>
    </row>
    <row r="101" spans="1:10" x14ac:dyDescent="0.35">
      <c r="A101" t="s">
        <v>237</v>
      </c>
      <c r="B101" t="s">
        <v>238</v>
      </c>
      <c r="C101" t="s">
        <v>29</v>
      </c>
      <c r="D101" t="s">
        <v>45</v>
      </c>
      <c r="E101" t="s">
        <v>20</v>
      </c>
      <c r="F101" t="s">
        <v>14</v>
      </c>
      <c r="G101" t="s">
        <v>22</v>
      </c>
      <c r="H101">
        <v>4</v>
      </c>
      <c r="I101">
        <v>35</v>
      </c>
      <c r="J101">
        <f t="shared" si="1"/>
        <v>140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best city</vt:lpstr>
      <vt:lpstr>dashboard</vt:lpstr>
      <vt:lpstr>bes sales man</vt:lpstr>
      <vt:lpstr>best product</vt:lpstr>
      <vt:lpstr>SalesData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Imad Khan</cp:lastModifiedBy>
  <dcterms:created xsi:type="dcterms:W3CDTF">2026-06-02T17:34:00Z</dcterms:created>
  <dcterms:modified xsi:type="dcterms:W3CDTF">2026-06-02T20:30:36Z</dcterms:modified>
</cp:coreProperties>
</file>